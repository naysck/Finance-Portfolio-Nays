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enotteaminatayacineseck/Downloads/"/>
    </mc:Choice>
  </mc:AlternateContent>
  <xr:revisionPtr revIDLastSave="0" documentId="8_{D41BB528-1390-9743-8FC3-A9AAFCDFEFCE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Fonderia" sheetId="3" r:id="rId1"/>
    <sheet name="Paid Leave" sheetId="6" r:id="rId2"/>
    <sheet name="WACC adjust" sheetId="4" r:id="rId3"/>
  </sheets>
  <definedNames>
    <definedName name="Inflation" localSheetId="1">'Paid Leave'!$B$29</definedName>
    <definedName name="Inflation" localSheetId="2">'WACC adjust'!$B$29</definedName>
    <definedName name="Inflation">Fonderia!$B$29</definedName>
    <definedName name="TAX" localSheetId="1">'Paid Leave'!$B$32</definedName>
    <definedName name="TAX" localSheetId="2">'WACC adjust'!$B$32</definedName>
    <definedName name="TAX">Fonderia!$B$32</definedName>
    <definedName name="TestInflation" localSheetId="1">'Paid Leave'!$C$14</definedName>
    <definedName name="TestInflation" localSheetId="2">'WACC adjust'!$C$14</definedName>
    <definedName name="TestInflation">Fonderia!$C$14</definedName>
  </definedNames>
  <calcPr calcId="191029"/>
  <customWorkbookViews>
    <customWorkbookView name="Darden School - Personal View" guid="{ADDC2261-61F0-11D1-81E0-00A02422C258}" mergeInterval="0" personalView="1" xWindow="22" yWindow="32" windowWidth="740" windowHeight="384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3" l="1"/>
  <c r="B30" i="3" s="1"/>
  <c r="C83" i="6" l="1"/>
  <c r="K75" i="6"/>
  <c r="J75" i="6"/>
  <c r="I75" i="6"/>
  <c r="G75" i="6"/>
  <c r="I71" i="6"/>
  <c r="H71" i="6"/>
  <c r="H75" i="6" s="1"/>
  <c r="G71" i="6"/>
  <c r="F71" i="6"/>
  <c r="F75" i="6" s="1"/>
  <c r="E71" i="6"/>
  <c r="E75" i="6" s="1"/>
  <c r="D71" i="6"/>
  <c r="D75" i="6" s="1"/>
  <c r="K70" i="6"/>
  <c r="J70" i="6"/>
  <c r="I70" i="6"/>
  <c r="H70" i="6"/>
  <c r="G70" i="6"/>
  <c r="F70" i="6"/>
  <c r="E70" i="6"/>
  <c r="D70" i="6"/>
  <c r="K69" i="6"/>
  <c r="J69" i="6"/>
  <c r="I69" i="6"/>
  <c r="H69" i="6"/>
  <c r="G69" i="6"/>
  <c r="F69" i="6"/>
  <c r="E69" i="6"/>
  <c r="D69" i="6"/>
  <c r="G57" i="6"/>
  <c r="G61" i="6" s="1"/>
  <c r="F57" i="6"/>
  <c r="F61" i="6" s="1"/>
  <c r="K56" i="6"/>
  <c r="J56" i="6"/>
  <c r="I56" i="6"/>
  <c r="H56" i="6"/>
  <c r="G56" i="6"/>
  <c r="F56" i="6"/>
  <c r="E56" i="6"/>
  <c r="D56" i="6"/>
  <c r="K55" i="6"/>
  <c r="J55" i="6"/>
  <c r="I55" i="6"/>
  <c r="H55" i="6"/>
  <c r="G55" i="6"/>
  <c r="F55" i="6"/>
  <c r="E55" i="6"/>
  <c r="D55" i="6"/>
  <c r="K54" i="6"/>
  <c r="J54" i="6"/>
  <c r="I54" i="6"/>
  <c r="H54" i="6"/>
  <c r="G54" i="6"/>
  <c r="F54" i="6"/>
  <c r="E54" i="6"/>
  <c r="D54" i="6"/>
  <c r="K52" i="6"/>
  <c r="D52" i="6"/>
  <c r="H44" i="6"/>
  <c r="H43" i="6"/>
  <c r="K57" i="6" s="1"/>
  <c r="K61" i="6" s="1"/>
  <c r="D42" i="6"/>
  <c r="D44" i="6" s="1"/>
  <c r="B35" i="6"/>
  <c r="B34" i="6"/>
  <c r="E32" i="6"/>
  <c r="B30" i="6"/>
  <c r="B25" i="6"/>
  <c r="H52" i="6" s="1"/>
  <c r="E24" i="6"/>
  <c r="D24" i="6"/>
  <c r="D25" i="6" s="1"/>
  <c r="D22" i="6"/>
  <c r="E21" i="6"/>
  <c r="E25" i="6" s="1"/>
  <c r="D21" i="6"/>
  <c r="D53" i="3"/>
  <c r="E53" i="3"/>
  <c r="B29" i="4"/>
  <c r="B30" i="4" s="1"/>
  <c r="E32" i="4" s="1"/>
  <c r="C83" i="4"/>
  <c r="K75" i="4"/>
  <c r="J75" i="4"/>
  <c r="I75" i="4"/>
  <c r="G75" i="4"/>
  <c r="E75" i="4"/>
  <c r="I71" i="4"/>
  <c r="H71" i="4"/>
  <c r="H75" i="4" s="1"/>
  <c r="G71" i="4"/>
  <c r="F71" i="4"/>
  <c r="F75" i="4" s="1"/>
  <c r="E71" i="4"/>
  <c r="D71" i="4"/>
  <c r="D75" i="4" s="1"/>
  <c r="K70" i="4"/>
  <c r="J70" i="4"/>
  <c r="I70" i="4"/>
  <c r="H70" i="4"/>
  <c r="G70" i="4"/>
  <c r="F70" i="4"/>
  <c r="E70" i="4"/>
  <c r="D70" i="4"/>
  <c r="K69" i="4"/>
  <c r="J69" i="4"/>
  <c r="I69" i="4"/>
  <c r="H69" i="4"/>
  <c r="G69" i="4"/>
  <c r="F69" i="4"/>
  <c r="E69" i="4"/>
  <c r="D69" i="4"/>
  <c r="G57" i="4"/>
  <c r="G61" i="4" s="1"/>
  <c r="F57" i="4"/>
  <c r="F61" i="4" s="1"/>
  <c r="E57" i="4"/>
  <c r="E61" i="4" s="1"/>
  <c r="D57" i="4"/>
  <c r="D61" i="4" s="1"/>
  <c r="K56" i="4"/>
  <c r="J56" i="4"/>
  <c r="I56" i="4"/>
  <c r="H56" i="4"/>
  <c r="G56" i="4"/>
  <c r="F56" i="4"/>
  <c r="E56" i="4"/>
  <c r="D56" i="4"/>
  <c r="K55" i="4"/>
  <c r="J55" i="4"/>
  <c r="I55" i="4"/>
  <c r="H55" i="4"/>
  <c r="G55" i="4"/>
  <c r="F55" i="4"/>
  <c r="E55" i="4"/>
  <c r="D55" i="4"/>
  <c r="K54" i="4"/>
  <c r="J54" i="4"/>
  <c r="I54" i="4"/>
  <c r="H54" i="4"/>
  <c r="G54" i="4"/>
  <c r="F54" i="4"/>
  <c r="E54" i="4"/>
  <c r="D54" i="4"/>
  <c r="K52" i="4"/>
  <c r="J52" i="4"/>
  <c r="I52" i="4"/>
  <c r="G52" i="4"/>
  <c r="D52" i="4"/>
  <c r="H44" i="4"/>
  <c r="H43" i="4"/>
  <c r="K57" i="4" s="1"/>
  <c r="K61" i="4" s="1"/>
  <c r="D42" i="4"/>
  <c r="D44" i="4" s="1"/>
  <c r="B34" i="4"/>
  <c r="B25" i="4"/>
  <c r="H52" i="4" s="1"/>
  <c r="E24" i="4"/>
  <c r="D24" i="4"/>
  <c r="D22" i="4"/>
  <c r="E21" i="4"/>
  <c r="E25" i="4" s="1"/>
  <c r="D21" i="4"/>
  <c r="D25" i="4" s="1"/>
  <c r="D46" i="3"/>
  <c r="K67" i="6" l="1"/>
  <c r="G53" i="6"/>
  <c r="I67" i="6"/>
  <c r="E53" i="6"/>
  <c r="H67" i="6"/>
  <c r="H72" i="6" s="1"/>
  <c r="D58" i="6"/>
  <c r="J67" i="6"/>
  <c r="J72" i="6" s="1"/>
  <c r="F53" i="6"/>
  <c r="G67" i="6"/>
  <c r="K53" i="6"/>
  <c r="K58" i="6" s="1"/>
  <c r="F67" i="6"/>
  <c r="E67" i="6"/>
  <c r="I53" i="6"/>
  <c r="H53" i="6"/>
  <c r="H58" i="6" s="1"/>
  <c r="D67" i="6"/>
  <c r="J53" i="6"/>
  <c r="J68" i="6"/>
  <c r="H68" i="6"/>
  <c r="G68" i="6"/>
  <c r="F68" i="6"/>
  <c r="I68" i="6"/>
  <c r="D68" i="6"/>
  <c r="K68" i="6"/>
  <c r="E68" i="6"/>
  <c r="D45" i="6"/>
  <c r="D46" i="6"/>
  <c r="H45" i="6"/>
  <c r="H46" i="6" s="1"/>
  <c r="C62" i="6" s="1"/>
  <c r="C63" i="6" s="1"/>
  <c r="I52" i="6"/>
  <c r="D57" i="6"/>
  <c r="D61" i="6" s="1"/>
  <c r="J52" i="6"/>
  <c r="E57" i="6"/>
  <c r="E61" i="6" s="1"/>
  <c r="G52" i="6"/>
  <c r="J57" i="6"/>
  <c r="J61" i="6" s="1"/>
  <c r="E52" i="6"/>
  <c r="H57" i="6"/>
  <c r="H61" i="6" s="1"/>
  <c r="F52" i="6"/>
  <c r="I57" i="6"/>
  <c r="I61" i="6" s="1"/>
  <c r="B35" i="4"/>
  <c r="D45" i="4"/>
  <c r="D46" i="4"/>
  <c r="H45" i="4"/>
  <c r="H46" i="4" s="1"/>
  <c r="C62" i="4" s="1"/>
  <c r="C63" i="4" s="1"/>
  <c r="K67" i="4"/>
  <c r="G53" i="4"/>
  <c r="G58" i="4" s="1"/>
  <c r="J67" i="4"/>
  <c r="F53" i="4"/>
  <c r="G67" i="4"/>
  <c r="K53" i="4"/>
  <c r="K58" i="4" s="1"/>
  <c r="I67" i="4"/>
  <c r="E53" i="4"/>
  <c r="H67" i="4"/>
  <c r="D53" i="4"/>
  <c r="D58" i="4" s="1"/>
  <c r="E67" i="4"/>
  <c r="I53" i="4"/>
  <c r="H53" i="4"/>
  <c r="H58" i="4" s="1"/>
  <c r="D67" i="4"/>
  <c r="F67" i="4"/>
  <c r="J53" i="4"/>
  <c r="J58" i="4"/>
  <c r="J68" i="4"/>
  <c r="I68" i="4"/>
  <c r="F68" i="4"/>
  <c r="E68" i="4"/>
  <c r="H68" i="4"/>
  <c r="G68" i="4"/>
  <c r="D68" i="4"/>
  <c r="K68" i="4"/>
  <c r="E52" i="4"/>
  <c r="H57" i="4"/>
  <c r="H61" i="4" s="1"/>
  <c r="F52" i="4"/>
  <c r="F58" i="4" s="1"/>
  <c r="I57" i="4"/>
  <c r="I61" i="4" s="1"/>
  <c r="J57" i="4"/>
  <c r="J61" i="4" s="1"/>
  <c r="C62" i="3"/>
  <c r="H46" i="3"/>
  <c r="F53" i="3"/>
  <c r="G53" i="3"/>
  <c r="H53" i="3"/>
  <c r="I53" i="3"/>
  <c r="J53" i="3"/>
  <c r="K53" i="3"/>
  <c r="E52" i="3"/>
  <c r="F52" i="3"/>
  <c r="G52" i="3"/>
  <c r="H52" i="3"/>
  <c r="I52" i="3"/>
  <c r="J52" i="3"/>
  <c r="K52" i="3"/>
  <c r="D52" i="3"/>
  <c r="D56" i="3"/>
  <c r="E56" i="3"/>
  <c r="F56" i="3"/>
  <c r="G56" i="3"/>
  <c r="H56" i="3"/>
  <c r="I56" i="3"/>
  <c r="J56" i="3"/>
  <c r="K56" i="3"/>
  <c r="E68" i="3"/>
  <c r="F68" i="3"/>
  <c r="G68" i="3"/>
  <c r="H68" i="3"/>
  <c r="I68" i="3"/>
  <c r="J68" i="3"/>
  <c r="K68" i="3"/>
  <c r="D68" i="3"/>
  <c r="E67" i="3"/>
  <c r="F67" i="3"/>
  <c r="G67" i="3"/>
  <c r="H67" i="3"/>
  <c r="I67" i="3"/>
  <c r="J67" i="3"/>
  <c r="K67" i="3"/>
  <c r="D67" i="3"/>
  <c r="E72" i="6" l="1"/>
  <c r="F58" i="6"/>
  <c r="F59" i="6" s="1"/>
  <c r="F60" i="6" s="1"/>
  <c r="F63" i="6" s="1"/>
  <c r="F82" i="6" s="1"/>
  <c r="I72" i="6"/>
  <c r="G58" i="6"/>
  <c r="D59" i="6"/>
  <c r="D60" i="6" s="1"/>
  <c r="D63" i="6" s="1"/>
  <c r="H59" i="6"/>
  <c r="H60" i="6" s="1"/>
  <c r="H63" i="6" s="1"/>
  <c r="H82" i="6" s="1"/>
  <c r="D72" i="6"/>
  <c r="J73" i="6"/>
  <c r="J74" i="6" s="1"/>
  <c r="J77" i="6" s="1"/>
  <c r="J83" i="6" s="1"/>
  <c r="I58" i="6"/>
  <c r="C82" i="6"/>
  <c r="C84" i="6" s="1"/>
  <c r="H73" i="6"/>
  <c r="H74" i="6"/>
  <c r="H77" i="6" s="1"/>
  <c r="H83" i="6" s="1"/>
  <c r="E73" i="6"/>
  <c r="E74" i="6" s="1"/>
  <c r="E77" i="6" s="1"/>
  <c r="E83" i="6" s="1"/>
  <c r="I73" i="6"/>
  <c r="I74" i="6" s="1"/>
  <c r="I77" i="6" s="1"/>
  <c r="I83" i="6" s="1"/>
  <c r="K59" i="6"/>
  <c r="K60" i="6" s="1"/>
  <c r="K63" i="6" s="1"/>
  <c r="K82" i="6" s="1"/>
  <c r="G72" i="6"/>
  <c r="K72" i="6"/>
  <c r="E58" i="6"/>
  <c r="F72" i="6"/>
  <c r="J58" i="6"/>
  <c r="H72" i="4"/>
  <c r="H73" i="4" s="1"/>
  <c r="H74" i="4" s="1"/>
  <c r="H77" i="4" s="1"/>
  <c r="H83" i="4" s="1"/>
  <c r="F72" i="4"/>
  <c r="F73" i="4" s="1"/>
  <c r="F74" i="4" s="1"/>
  <c r="F77" i="4" s="1"/>
  <c r="F83" i="4" s="1"/>
  <c r="J72" i="4"/>
  <c r="J73" i="4" s="1"/>
  <c r="J74" i="4" s="1"/>
  <c r="J77" i="4" s="1"/>
  <c r="J83" i="4" s="1"/>
  <c r="I72" i="4"/>
  <c r="I73" i="4" s="1"/>
  <c r="I74" i="4" s="1"/>
  <c r="I77" i="4" s="1"/>
  <c r="I83" i="4" s="1"/>
  <c r="D72" i="4"/>
  <c r="G59" i="4"/>
  <c r="G60" i="4" s="1"/>
  <c r="G63" i="4" s="1"/>
  <c r="G82" i="4" s="1"/>
  <c r="K59" i="4"/>
  <c r="K60" i="4" s="1"/>
  <c r="K63" i="4" s="1"/>
  <c r="K82" i="4" s="1"/>
  <c r="J59" i="4"/>
  <c r="J60" i="4" s="1"/>
  <c r="J63" i="4" s="1"/>
  <c r="J82" i="4" s="1"/>
  <c r="K72" i="4"/>
  <c r="I58" i="4"/>
  <c r="D59" i="4"/>
  <c r="D60" i="4" s="1"/>
  <c r="D63" i="4" s="1"/>
  <c r="H59" i="4"/>
  <c r="H60" i="4" s="1"/>
  <c r="H63" i="4" s="1"/>
  <c r="H82" i="4" s="1"/>
  <c r="D73" i="4"/>
  <c r="E58" i="4"/>
  <c r="E72" i="4"/>
  <c r="F59" i="4"/>
  <c r="F60" i="4" s="1"/>
  <c r="F63" i="4" s="1"/>
  <c r="F82" i="4" s="1"/>
  <c r="G72" i="4"/>
  <c r="C82" i="4"/>
  <c r="C84" i="4" s="1"/>
  <c r="E69" i="3"/>
  <c r="F69" i="3"/>
  <c r="G69" i="3"/>
  <c r="H69" i="3"/>
  <c r="I69" i="3"/>
  <c r="J69" i="3"/>
  <c r="K69" i="3"/>
  <c r="E70" i="3"/>
  <c r="F70" i="3"/>
  <c r="G70" i="3"/>
  <c r="H70" i="3"/>
  <c r="I70" i="3"/>
  <c r="J70" i="3"/>
  <c r="K70" i="3"/>
  <c r="D70" i="3"/>
  <c r="D69" i="3"/>
  <c r="E54" i="3"/>
  <c r="F54" i="3"/>
  <c r="G54" i="3"/>
  <c r="H54" i="3"/>
  <c r="I54" i="3"/>
  <c r="J54" i="3"/>
  <c r="K54" i="3"/>
  <c r="E55" i="3"/>
  <c r="F55" i="3"/>
  <c r="G55" i="3"/>
  <c r="H55" i="3"/>
  <c r="I55" i="3"/>
  <c r="J55" i="3"/>
  <c r="K55" i="3"/>
  <c r="D55" i="3"/>
  <c r="D54" i="3"/>
  <c r="D45" i="3"/>
  <c r="B34" i="3"/>
  <c r="C83" i="3"/>
  <c r="H84" i="6" l="1"/>
  <c r="G59" i="6"/>
  <c r="G60" i="6" s="1"/>
  <c r="G63" i="6" s="1"/>
  <c r="G82" i="6" s="1"/>
  <c r="D82" i="6"/>
  <c r="D73" i="6"/>
  <c r="D74" i="6" s="1"/>
  <c r="D77" i="6" s="1"/>
  <c r="G73" i="6"/>
  <c r="G74" i="6" s="1"/>
  <c r="G77" i="6" s="1"/>
  <c r="G83" i="6" s="1"/>
  <c r="G84" i="6" s="1"/>
  <c r="F73" i="6"/>
  <c r="F74" i="6" s="1"/>
  <c r="F77" i="6" s="1"/>
  <c r="F83" i="6" s="1"/>
  <c r="F84" i="6" s="1"/>
  <c r="J59" i="6"/>
  <c r="J60" i="6" s="1"/>
  <c r="J63" i="6" s="1"/>
  <c r="J82" i="6" s="1"/>
  <c r="J84" i="6" s="1"/>
  <c r="E59" i="6"/>
  <c r="E60" i="6" s="1"/>
  <c r="E63" i="6" s="1"/>
  <c r="E82" i="6" s="1"/>
  <c r="E84" i="6" s="1"/>
  <c r="I59" i="6"/>
  <c r="I60" i="6" s="1"/>
  <c r="I63" i="6" s="1"/>
  <c r="I82" i="6" s="1"/>
  <c r="I84" i="6" s="1"/>
  <c r="K73" i="6"/>
  <c r="K74" i="6" s="1"/>
  <c r="K77" i="6" s="1"/>
  <c r="K83" i="6" s="1"/>
  <c r="K84" i="6" s="1"/>
  <c r="D74" i="4"/>
  <c r="D77" i="4" s="1"/>
  <c r="D83" i="4" s="1"/>
  <c r="J84" i="4"/>
  <c r="F84" i="4"/>
  <c r="H84" i="4"/>
  <c r="D82" i="4"/>
  <c r="E73" i="4"/>
  <c r="E74" i="4" s="1"/>
  <c r="E77" i="4" s="1"/>
  <c r="G73" i="4"/>
  <c r="G74" i="4" s="1"/>
  <c r="G77" i="4" s="1"/>
  <c r="G83" i="4" s="1"/>
  <c r="G84" i="4" s="1"/>
  <c r="E59" i="4"/>
  <c r="E60" i="4" s="1"/>
  <c r="E63" i="4" s="1"/>
  <c r="E82" i="4" s="1"/>
  <c r="I59" i="4"/>
  <c r="I60" i="4" s="1"/>
  <c r="I63" i="4" s="1"/>
  <c r="I82" i="4" s="1"/>
  <c r="I84" i="4" s="1"/>
  <c r="K73" i="4"/>
  <c r="K74" i="4" s="1"/>
  <c r="K77" i="4" s="1"/>
  <c r="K83" i="4" s="1"/>
  <c r="K84" i="4" s="1"/>
  <c r="E75" i="3"/>
  <c r="F75" i="3"/>
  <c r="G75" i="3"/>
  <c r="H75" i="3"/>
  <c r="I75" i="3"/>
  <c r="J75" i="3"/>
  <c r="K75" i="3"/>
  <c r="D75" i="3"/>
  <c r="H72" i="3"/>
  <c r="H73" i="3" s="1"/>
  <c r="I72" i="3"/>
  <c r="J72" i="3"/>
  <c r="K72" i="3"/>
  <c r="K73" i="3" s="1"/>
  <c r="E71" i="3"/>
  <c r="F71" i="3"/>
  <c r="G71" i="3"/>
  <c r="H71" i="3"/>
  <c r="I71" i="3"/>
  <c r="D71" i="3"/>
  <c r="E72" i="3"/>
  <c r="F72" i="3"/>
  <c r="G72" i="3"/>
  <c r="D72" i="3"/>
  <c r="E58" i="3"/>
  <c r="C63" i="3"/>
  <c r="C82" i="3" s="1"/>
  <c r="C84" i="3" s="1"/>
  <c r="E61" i="3"/>
  <c r="F61" i="3"/>
  <c r="G61" i="3"/>
  <c r="H61" i="3"/>
  <c r="I61" i="3"/>
  <c r="J61" i="3"/>
  <c r="K61" i="3"/>
  <c r="D61" i="3"/>
  <c r="H44" i="3"/>
  <c r="D42" i="3"/>
  <c r="D44" i="3" s="1"/>
  <c r="B25" i="3"/>
  <c r="E32" i="3"/>
  <c r="B35" i="3" s="1"/>
  <c r="B8" i="3" s="1"/>
  <c r="H43" i="3"/>
  <c r="E57" i="3" s="1"/>
  <c r="D83" i="6" l="1"/>
  <c r="D84" i="6" s="1"/>
  <c r="I90" i="6"/>
  <c r="G10" i="6"/>
  <c r="I89" i="6"/>
  <c r="G9" i="6"/>
  <c r="G8" i="6"/>
  <c r="I88" i="6"/>
  <c r="E83" i="4"/>
  <c r="G9" i="4"/>
  <c r="G10" i="4"/>
  <c r="I90" i="4"/>
  <c r="I89" i="4"/>
  <c r="E84" i="4"/>
  <c r="I88" i="4"/>
  <c r="G8" i="4"/>
  <c r="D84" i="4"/>
  <c r="G73" i="3"/>
  <c r="G74" i="3" s="1"/>
  <c r="G77" i="3" s="1"/>
  <c r="G83" i="3" s="1"/>
  <c r="E73" i="3"/>
  <c r="E74" i="3" s="1"/>
  <c r="E77" i="3" s="1"/>
  <c r="E83" i="3" s="1"/>
  <c r="F73" i="3"/>
  <c r="F74" i="3" s="1"/>
  <c r="F77" i="3" s="1"/>
  <c r="F83" i="3" s="1"/>
  <c r="D73" i="3"/>
  <c r="D74" i="3" s="1"/>
  <c r="D77" i="3" s="1"/>
  <c r="J73" i="3"/>
  <c r="J74" i="3" s="1"/>
  <c r="J77" i="3" s="1"/>
  <c r="J83" i="3" s="1"/>
  <c r="I73" i="3"/>
  <c r="I74" i="3" s="1"/>
  <c r="I77" i="3" s="1"/>
  <c r="I83" i="3" s="1"/>
  <c r="K74" i="3"/>
  <c r="K77" i="3" s="1"/>
  <c r="K83" i="3" s="1"/>
  <c r="H74" i="3"/>
  <c r="H77" i="3" s="1"/>
  <c r="H83" i="3" s="1"/>
  <c r="E59" i="3"/>
  <c r="E60" i="3" s="1"/>
  <c r="E63" i="3" s="1"/>
  <c r="E82" i="3" s="1"/>
  <c r="H58" i="3"/>
  <c r="K57" i="3"/>
  <c r="K58" i="3" s="1"/>
  <c r="J57" i="3"/>
  <c r="J58" i="3" s="1"/>
  <c r="H45" i="3"/>
  <c r="D57" i="3"/>
  <c r="D58" i="3" s="1"/>
  <c r="D59" i="3" s="1"/>
  <c r="D60" i="3" s="1"/>
  <c r="D63" i="3" s="1"/>
  <c r="H57" i="3"/>
  <c r="G57" i="3"/>
  <c r="F58" i="3"/>
  <c r="F57" i="3"/>
  <c r="I57" i="3"/>
  <c r="I58" i="3" s="1"/>
  <c r="D21" i="3"/>
  <c r="E21" i="3"/>
  <c r="D22" i="3"/>
  <c r="D24" i="3"/>
  <c r="E24" i="3"/>
  <c r="C8" i="6" l="1"/>
  <c r="C87" i="6"/>
  <c r="C90" i="6"/>
  <c r="C89" i="6"/>
  <c r="B95" i="6"/>
  <c r="C9" i="6"/>
  <c r="C10" i="6"/>
  <c r="C7" i="6"/>
  <c r="C88" i="6"/>
  <c r="G88" i="6"/>
  <c r="F8" i="6"/>
  <c r="F10" i="6"/>
  <c r="G90" i="6"/>
  <c r="F9" i="6"/>
  <c r="G89" i="6"/>
  <c r="B95" i="4"/>
  <c r="G88" i="4"/>
  <c r="F8" i="4"/>
  <c r="G89" i="4"/>
  <c r="F9" i="4"/>
  <c r="G90" i="4"/>
  <c r="F10" i="4"/>
  <c r="C7" i="4"/>
  <c r="C90" i="4"/>
  <c r="C88" i="4"/>
  <c r="C87" i="4"/>
  <c r="C10" i="4"/>
  <c r="C89" i="4"/>
  <c r="C9" i="4"/>
  <c r="C8" i="4"/>
  <c r="G10" i="3"/>
  <c r="I90" i="3"/>
  <c r="I89" i="3"/>
  <c r="D82" i="3"/>
  <c r="D83" i="3"/>
  <c r="G9" i="3"/>
  <c r="E84" i="3"/>
  <c r="I59" i="3"/>
  <c r="I60" i="3" s="1"/>
  <c r="I63" i="3" s="1"/>
  <c r="I82" i="3" s="1"/>
  <c r="I84" i="3" s="1"/>
  <c r="J59" i="3"/>
  <c r="J60" i="3" s="1"/>
  <c r="J63" i="3" s="1"/>
  <c r="J82" i="3" s="1"/>
  <c r="J84" i="3" s="1"/>
  <c r="K59" i="3"/>
  <c r="K60" i="3" s="1"/>
  <c r="K63" i="3" s="1"/>
  <c r="K82" i="3" s="1"/>
  <c r="K84" i="3" s="1"/>
  <c r="F59" i="3"/>
  <c r="F60" i="3" s="1"/>
  <c r="F63" i="3" s="1"/>
  <c r="F82" i="3" s="1"/>
  <c r="F84" i="3" s="1"/>
  <c r="H59" i="3"/>
  <c r="H60" i="3" s="1"/>
  <c r="H63" i="3" s="1"/>
  <c r="H82" i="3" s="1"/>
  <c r="H84" i="3" s="1"/>
  <c r="G58" i="3"/>
  <c r="E25" i="3"/>
  <c r="D25" i="3"/>
  <c r="F10" i="3" l="1"/>
  <c r="G90" i="3"/>
  <c r="D84" i="3"/>
  <c r="F9" i="3"/>
  <c r="G89" i="3"/>
  <c r="G59" i="3"/>
  <c r="G60" i="3" s="1"/>
  <c r="G63" i="3" s="1"/>
  <c r="G82" i="3" s="1"/>
  <c r="G84" i="3" s="1"/>
  <c r="C87" i="3" l="1"/>
  <c r="B95" i="3"/>
  <c r="C7" i="3"/>
  <c r="C10" i="3"/>
  <c r="C89" i="3"/>
  <c r="C8" i="3"/>
  <c r="C9" i="3"/>
  <c r="C90" i="3"/>
  <c r="G8" i="3"/>
  <c r="C88" i="3"/>
  <c r="I88" i="3"/>
  <c r="G88" i="3" l="1"/>
  <c r="F8" i="3"/>
</calcChain>
</file>

<file path=xl/sharedStrings.xml><?xml version="1.0" encoding="utf-8"?>
<sst xmlns="http://schemas.openxmlformats.org/spreadsheetml/2006/main" count="351" uniqueCount="90">
  <si>
    <t>NPV</t>
  </si>
  <si>
    <t>Semi-Auto.</t>
  </si>
  <si>
    <t>Inflation</t>
  </si>
  <si>
    <t>Semi-Auto. Machines</t>
  </si>
  <si>
    <t>Operation</t>
  </si>
  <si>
    <t>Maint.</t>
  </si>
  <si>
    <t>Operators</t>
  </si>
  <si>
    <t>Hours</t>
  </si>
  <si>
    <t>Shifts</t>
  </si>
  <si>
    <t>Pay/hour</t>
  </si>
  <si>
    <t>Days/Yr.</t>
  </si>
  <si>
    <t>WACC</t>
  </si>
  <si>
    <t>Tax rate</t>
  </si>
  <si>
    <t>K(Equity)</t>
  </si>
  <si>
    <t>i(Debt)</t>
  </si>
  <si>
    <t>i*(1-t)</t>
  </si>
  <si>
    <t>Sale of Six Semi-Automatic Machines</t>
  </si>
  <si>
    <t>Original cost</t>
  </si>
  <si>
    <t>Price</t>
  </si>
  <si>
    <t>Cumulative depreciation</t>
  </si>
  <si>
    <t>Shipping</t>
  </si>
  <si>
    <t>Book value</t>
  </si>
  <si>
    <t>Electrical</t>
  </si>
  <si>
    <t>Market value</t>
  </si>
  <si>
    <t>Sale proceeds</t>
  </si>
  <si>
    <t>Tax shield</t>
  </si>
  <si>
    <t>Net Investment</t>
  </si>
  <si>
    <t>Year</t>
  </si>
  <si>
    <t>Labor Cost</t>
  </si>
  <si>
    <t>Semi-Auto Labor</t>
  </si>
  <si>
    <t>Maintenance</t>
  </si>
  <si>
    <t>Labor Saving</t>
  </si>
  <si>
    <t>Depreciation</t>
  </si>
  <si>
    <t>Pretax Cost</t>
  </si>
  <si>
    <t>Taxes</t>
  </si>
  <si>
    <t>After tax Cost</t>
  </si>
  <si>
    <t>+ Depreciation</t>
  </si>
  <si>
    <t>- Cap. Expend.</t>
  </si>
  <si>
    <t>Cash Flow</t>
  </si>
  <si>
    <t>ESTIMATE OF SEMI-AUTOMATED MACHINES' ANNUAL CASH FLOWS</t>
  </si>
  <si>
    <t>Operating Labor</t>
  </si>
  <si>
    <t>Maint. Labor</t>
  </si>
  <si>
    <t>Maint. Supplies</t>
  </si>
  <si>
    <t>Aftertax Cost</t>
  </si>
  <si>
    <t>+Depreciation</t>
  </si>
  <si>
    <t>-Cap. Expend.</t>
  </si>
  <si>
    <t>Cash flow</t>
  </si>
  <si>
    <t>ESTIMATE OF INCREMENTAL CASH FLOW NPV</t>
  </si>
  <si>
    <t>New Cash Flow</t>
  </si>
  <si>
    <t>Old Cash Flow</t>
  </si>
  <si>
    <t>IRR =</t>
  </si>
  <si>
    <t>INCREMENTAL NPV SENSITIVITY TO LABOR FACTOR AND INFLATION</t>
  </si>
  <si>
    <t xml:space="preserve">  All are laid off.</t>
  </si>
  <si>
    <t>Labor</t>
  </si>
  <si>
    <t>Factor</t>
  </si>
  <si>
    <t xml:space="preserve">  Retained at full salary.</t>
  </si>
  <si>
    <t xml:space="preserve"> </t>
  </si>
  <si>
    <t>0</t>
  </si>
  <si>
    <t>ANNUAL LABOR COST (in Euros)</t>
  </si>
  <si>
    <t>ESTIMATE OF INVESTMENT OUTLAYS (in Euros)</t>
  </si>
  <si>
    <t>Purchase of Vulcan Mold-Maker</t>
  </si>
  <si>
    <t>ESTIMATE OF VULCAN MOLD-MAKER ANNUAL CASH FLOWS</t>
  </si>
  <si>
    <t>NPV (in Euros)</t>
  </si>
  <si>
    <t>Vulcan Mold Maker</t>
  </si>
  <si>
    <t>Vulcan</t>
  </si>
  <si>
    <t>NPV (Euros)</t>
  </si>
  <si>
    <r>
      <t xml:space="preserve">  Retained as Janitors at </t>
    </r>
    <r>
      <rPr>
        <i/>
        <sz val="12"/>
        <rFont val="Times New Roman"/>
        <family val="1"/>
      </rPr>
      <t>€4</t>
    </r>
    <r>
      <rPr>
        <sz val="12"/>
        <rFont val="Times New Roman"/>
        <family val="1"/>
      </rPr>
      <t>.13 per hour.</t>
    </r>
  </si>
  <si>
    <t>Risk free rate</t>
  </si>
  <si>
    <t>Risk premium</t>
  </si>
  <si>
    <t>Gain/(Loss) before tax</t>
  </si>
  <si>
    <t>Gain/(Loss) after tax</t>
  </si>
  <si>
    <t>Total Cost</t>
  </si>
  <si>
    <t>NPV @</t>
  </si>
  <si>
    <t>EAC</t>
  </si>
  <si>
    <t>Incremental CF</t>
  </si>
  <si>
    <t>TABLE OF FINAL RESULTS AND ASSUMPTIONS</t>
  </si>
  <si>
    <t>Results (same as below)</t>
  </si>
  <si>
    <t>WACC used</t>
  </si>
  <si>
    <t>Weight (Debt)</t>
  </si>
  <si>
    <t>Weight (Equity)</t>
  </si>
  <si>
    <t>Expected Inflation</t>
  </si>
  <si>
    <t>Assumptions</t>
  </si>
  <si>
    <t>SENSITIVITY INPUTS</t>
  </si>
  <si>
    <t>Labor Factor</t>
  </si>
  <si>
    <t>NPV Analysis</t>
  </si>
  <si>
    <t>Power. Cost</t>
  </si>
  <si>
    <t>Power Cost</t>
  </si>
  <si>
    <t>Beta</t>
  </si>
  <si>
    <t>6 years</t>
  </si>
  <si>
    <t>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</si>
</sst>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0.00_)"/>
    <numFmt numFmtId="167" formatCode="0.0%"/>
    <numFmt numFmtId="168" formatCode="_(* #,##0_);_(* \(#,##0\);_(* &quot;-&quot;??_);_(@_)"/>
    <numFmt numFmtId="169" formatCode="[$€-2]\ #,##0.00_);\([$€-2]\ #,##0.00\)"/>
    <numFmt numFmtId="170" formatCode="[$€-2]\ #,##0_);\([$€-2]\ #,##0\)"/>
    <numFmt numFmtId="171" formatCode="_([$€-2]\ * #,##0_);_([$€-2]\ * \(#,##0\);_([$€-2]\ * &quot;-&quot;??_);_(@_)"/>
    <numFmt numFmtId="172" formatCode="_(&quot;$&quot;* #,##0_);_(&quot;$&quot;* \(#,##0\);_(&quot;$&quot;* &quot;-&quot;??_);_(@_)"/>
    <numFmt numFmtId="173" formatCode="_([$€-2]\ * #,##0.00_);_([$€-2]\ * \(#,##0.00\);_([$€-2]\ * &quot;-&quot;??_);_(@_)"/>
  </numFmts>
  <fonts count="17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u val="double"/>
      <sz val="12"/>
      <name val="Times New Roman"/>
      <family val="1"/>
    </font>
    <font>
      <sz val="12"/>
      <color indexed="12"/>
      <name val="Times New Roman"/>
      <family val="1"/>
    </font>
    <font>
      <b/>
      <sz val="12"/>
      <color indexed="12"/>
      <name val="Times New Roman"/>
      <family val="1"/>
    </font>
    <font>
      <u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u val="double"/>
      <sz val="12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5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39" fontId="3" fillId="0" borderId="0" xfId="0" applyNumberFormat="1" applyFont="1"/>
    <xf numFmtId="0" fontId="5" fillId="0" borderId="0" xfId="0" applyFont="1" applyAlignment="1">
      <alignment horizontal="left"/>
    </xf>
    <xf numFmtId="0" fontId="3" fillId="0" borderId="15" xfId="0" applyFont="1" applyBorder="1"/>
    <xf numFmtId="0" fontId="7" fillId="0" borderId="16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6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Continuous"/>
    </xf>
    <xf numFmtId="0" fontId="3" fillId="0" borderId="3" xfId="0" applyFont="1" applyBorder="1"/>
    <xf numFmtId="0" fontId="3" fillId="0" borderId="4" xfId="0" applyFont="1" applyBorder="1"/>
    <xf numFmtId="0" fontId="7" fillId="0" borderId="0" xfId="0" applyFont="1"/>
    <xf numFmtId="0" fontId="3" fillId="0" borderId="5" xfId="0" applyFont="1" applyBorder="1"/>
    <xf numFmtId="0" fontId="3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3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7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9" xfId="0" applyFont="1" applyBorder="1"/>
    <xf numFmtId="0" fontId="3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0" xfId="0" applyFont="1" applyAlignment="1">
      <alignment horizontal="centerContinuous"/>
    </xf>
    <xf numFmtId="39" fontId="5" fillId="0" borderId="0" xfId="0" applyNumberFormat="1" applyFont="1"/>
    <xf numFmtId="0" fontId="3" fillId="0" borderId="19" xfId="0" applyFont="1" applyBorder="1" applyAlignment="1">
      <alignment horizontal="left"/>
    </xf>
    <xf numFmtId="0" fontId="3" fillId="0" borderId="19" xfId="0" applyFont="1" applyBorder="1"/>
    <xf numFmtId="169" fontId="3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168" fontId="3" fillId="2" borderId="23" xfId="0" applyNumberFormat="1" applyFont="1" applyFill="1" applyBorder="1"/>
    <xf numFmtId="37" fontId="3" fillId="2" borderId="21" xfId="0" applyNumberFormat="1" applyFont="1" applyFill="1" applyBorder="1"/>
    <xf numFmtId="168" fontId="3" fillId="2" borderId="0" xfId="0" applyNumberFormat="1" applyFont="1" applyFill="1"/>
    <xf numFmtId="168" fontId="3" fillId="2" borderId="0" xfId="1" applyNumberFormat="1" applyFont="1" applyFill="1" applyProtection="1"/>
    <xf numFmtId="168" fontId="3" fillId="2" borderId="12" xfId="1" applyNumberFormat="1" applyFont="1" applyFill="1" applyBorder="1" applyProtection="1"/>
    <xf numFmtId="168" fontId="3" fillId="2" borderId="7" xfId="0" applyNumberFormat="1" applyFont="1" applyFill="1" applyBorder="1"/>
    <xf numFmtId="167" fontId="3" fillId="2" borderId="0" xfId="0" applyNumberFormat="1" applyFont="1" applyFill="1"/>
    <xf numFmtId="167" fontId="3" fillId="2" borderId="5" xfId="0" applyNumberFormat="1" applyFont="1" applyFill="1" applyBorder="1"/>
    <xf numFmtId="170" fontId="2" fillId="2" borderId="7" xfId="2" applyNumberFormat="1" applyFont="1" applyFill="1" applyBorder="1" applyProtection="1"/>
    <xf numFmtId="168" fontId="3" fillId="2" borderId="16" xfId="1" applyNumberFormat="1" applyFont="1" applyFill="1" applyBorder="1" applyProtection="1"/>
    <xf numFmtId="9" fontId="3" fillId="4" borderId="0" xfId="0" applyNumberFormat="1" applyFont="1" applyFill="1"/>
    <xf numFmtId="0" fontId="3" fillId="4" borderId="0" xfId="0" applyFont="1" applyFill="1"/>
    <xf numFmtId="0" fontId="2" fillId="0" borderId="1" xfId="0" applyFont="1" applyBorder="1" applyAlignment="1">
      <alignment horizontal="left"/>
    </xf>
    <xf numFmtId="0" fontId="3" fillId="0" borderId="26" xfId="0" applyFont="1" applyBorder="1" applyAlignment="1">
      <alignment horizontal="centerContinuous"/>
    </xf>
    <xf numFmtId="0" fontId="3" fillId="0" borderId="27" xfId="0" applyFont="1" applyBorder="1" applyAlignment="1">
      <alignment horizontal="centerContinuous"/>
    </xf>
    <xf numFmtId="169" fontId="3" fillId="0" borderId="7" xfId="0" applyNumberFormat="1" applyFont="1" applyBorder="1" applyAlignment="1">
      <alignment vertical="center"/>
    </xf>
    <xf numFmtId="170" fontId="2" fillId="0" borderId="7" xfId="2" applyNumberFormat="1" applyFont="1" applyFill="1" applyBorder="1" applyProtection="1"/>
    <xf numFmtId="0" fontId="3" fillId="2" borderId="5" xfId="0" applyFont="1" applyFill="1" applyBorder="1"/>
    <xf numFmtId="10" fontId="3" fillId="2" borderId="0" xfId="3" applyNumberFormat="1" applyFont="1" applyFill="1"/>
    <xf numFmtId="9" fontId="3" fillId="2" borderId="0" xfId="0" applyNumberFormat="1" applyFont="1" applyFill="1"/>
    <xf numFmtId="10" fontId="3" fillId="0" borderId="0" xfId="3" applyNumberFormat="1" applyFont="1" applyFill="1"/>
    <xf numFmtId="171" fontId="3" fillId="2" borderId="0" xfId="1" applyNumberFormat="1" applyFont="1" applyFill="1" applyProtection="1"/>
    <xf numFmtId="171" fontId="7" fillId="2" borderId="0" xfId="0" applyNumberFormat="1" applyFont="1" applyFill="1"/>
    <xf numFmtId="171" fontId="7" fillId="2" borderId="0" xfId="1" applyNumberFormat="1" applyFont="1" applyFill="1" applyProtection="1"/>
    <xf numFmtId="171" fontId="3" fillId="2" borderId="0" xfId="0" applyNumberFormat="1" applyFont="1" applyFill="1"/>
    <xf numFmtId="171" fontId="4" fillId="2" borderId="0" xfId="0" applyNumberFormat="1" applyFont="1" applyFill="1"/>
    <xf numFmtId="171" fontId="3" fillId="0" borderId="0" xfId="2" applyNumberFormat="1" applyFont="1"/>
    <xf numFmtId="171" fontId="3" fillId="2" borderId="0" xfId="2" applyNumberFormat="1" applyFont="1" applyFill="1"/>
    <xf numFmtId="171" fontId="7" fillId="2" borderId="0" xfId="2" applyNumberFormat="1" applyFont="1" applyFill="1"/>
    <xf numFmtId="171" fontId="4" fillId="2" borderId="0" xfId="2" applyNumberFormat="1" applyFont="1" applyFill="1"/>
    <xf numFmtId="170" fontId="3" fillId="0" borderId="0" xfId="0" applyNumberFormat="1" applyFont="1"/>
    <xf numFmtId="0" fontId="12" fillId="0" borderId="0" xfId="0" applyFont="1"/>
    <xf numFmtId="9" fontId="12" fillId="0" borderId="0" xfId="0" applyNumberFormat="1" applyFont="1"/>
    <xf numFmtId="172" fontId="12" fillId="0" borderId="0" xfId="0" applyNumberFormat="1" applyFont="1"/>
    <xf numFmtId="165" fontId="12" fillId="0" borderId="0" xfId="0" applyNumberFormat="1" applyFont="1"/>
    <xf numFmtId="10" fontId="2" fillId="2" borderId="14" xfId="0" applyNumberFormat="1" applyFont="1" applyFill="1" applyBorder="1" applyAlignment="1">
      <alignment horizontal="right"/>
    </xf>
    <xf numFmtId="10" fontId="2" fillId="2" borderId="0" xfId="3" applyNumberFormat="1" applyFont="1" applyFill="1"/>
    <xf numFmtId="171" fontId="2" fillId="2" borderId="0" xfId="3" applyNumberFormat="1" applyFont="1" applyFill="1"/>
    <xf numFmtId="37" fontId="3" fillId="0" borderId="0" xfId="0" applyNumberFormat="1" applyFont="1"/>
    <xf numFmtId="168" fontId="3" fillId="2" borderId="30" xfId="0" applyNumberFormat="1" applyFont="1" applyFill="1" applyBorder="1"/>
    <xf numFmtId="0" fontId="3" fillId="0" borderId="30" xfId="0" applyFont="1" applyBorder="1"/>
    <xf numFmtId="0" fontId="3" fillId="0" borderId="31" xfId="0" applyFont="1" applyBorder="1" applyAlignment="1">
      <alignment horizontal="left"/>
    </xf>
    <xf numFmtId="168" fontId="3" fillId="2" borderId="32" xfId="0" applyNumberFormat="1" applyFont="1" applyFill="1" applyBorder="1"/>
    <xf numFmtId="0" fontId="2" fillId="0" borderId="0" xfId="0" applyFont="1"/>
    <xf numFmtId="173" fontId="3" fillId="0" borderId="0" xfId="0" applyNumberFormat="1" applyFont="1"/>
    <xf numFmtId="10" fontId="3" fillId="2" borderId="0" xfId="0" applyNumberFormat="1" applyFont="1" applyFill="1"/>
    <xf numFmtId="168" fontId="3" fillId="0" borderId="0" xfId="1" applyNumberFormat="1" applyFont="1" applyFill="1" applyProtection="1"/>
    <xf numFmtId="168" fontId="3" fillId="0" borderId="0" xfId="0" applyNumberFormat="1" applyFont="1"/>
    <xf numFmtId="168" fontId="3" fillId="0" borderId="5" xfId="0" applyNumberFormat="1" applyFont="1" applyBorder="1"/>
    <xf numFmtId="169" fontId="3" fillId="0" borderId="0" xfId="2" applyNumberFormat="1" applyFont="1" applyFill="1" applyProtection="1"/>
    <xf numFmtId="169" fontId="3" fillId="0" borderId="5" xfId="2" applyNumberFormat="1" applyFont="1" applyFill="1" applyBorder="1" applyProtection="1"/>
    <xf numFmtId="168" fontId="3" fillId="0" borderId="12" xfId="1" applyNumberFormat="1" applyFont="1" applyFill="1" applyBorder="1" applyProtection="1"/>
    <xf numFmtId="168" fontId="3" fillId="0" borderId="12" xfId="0" applyNumberFormat="1" applyFont="1" applyBorder="1"/>
    <xf numFmtId="168" fontId="3" fillId="0" borderId="13" xfId="0" applyNumberFormat="1" applyFont="1" applyBorder="1"/>
    <xf numFmtId="167" fontId="3" fillId="0" borderId="0" xfId="0" applyNumberFormat="1" applyFont="1"/>
    <xf numFmtId="168" fontId="3" fillId="0" borderId="24" xfId="0" applyNumberFormat="1" applyFont="1" applyBorder="1"/>
    <xf numFmtId="168" fontId="3" fillId="0" borderId="19" xfId="1" applyNumberFormat="1" applyFont="1" applyFill="1" applyBorder="1" applyProtection="1"/>
    <xf numFmtId="171" fontId="2" fillId="2" borderId="24" xfId="0" applyNumberFormat="1" applyFont="1" applyFill="1" applyBorder="1"/>
    <xf numFmtId="171" fontId="3" fillId="2" borderId="24" xfId="0" applyNumberFormat="1" applyFont="1" applyFill="1" applyBorder="1"/>
    <xf numFmtId="0" fontId="13" fillId="0" borderId="0" xfId="0" applyFont="1"/>
    <xf numFmtId="39" fontId="2" fillId="0" borderId="0" xfId="0" applyNumberFormat="1" applyFont="1"/>
    <xf numFmtId="0" fontId="14" fillId="0" borderId="0" xfId="0" applyFont="1"/>
    <xf numFmtId="171" fontId="2" fillId="2" borderId="24" xfId="2" applyNumberFormat="1" applyFont="1" applyFill="1" applyBorder="1"/>
    <xf numFmtId="164" fontId="3" fillId="0" borderId="22" xfId="2" applyNumberFormat="1" applyFont="1" applyBorder="1"/>
    <xf numFmtId="167" fontId="2" fillId="3" borderId="20" xfId="3" applyNumberFormat="1" applyFont="1" applyFill="1" applyBorder="1" applyProtection="1"/>
    <xf numFmtId="167" fontId="2" fillId="3" borderId="2" xfId="3" applyNumberFormat="1" applyFont="1" applyFill="1" applyBorder="1" applyProtection="1"/>
    <xf numFmtId="167" fontId="2" fillId="3" borderId="3" xfId="3" applyNumberFormat="1" applyFont="1" applyFill="1" applyBorder="1" applyProtection="1"/>
    <xf numFmtId="0" fontId="1" fillId="0" borderId="0" xfId="0" applyFont="1"/>
    <xf numFmtId="43" fontId="2" fillId="3" borderId="4" xfId="1" quotePrefix="1" applyFont="1" applyFill="1" applyBorder="1" applyAlignment="1" applyProtection="1">
      <alignment horizontal="right"/>
    </xf>
    <xf numFmtId="43" fontId="2" fillId="3" borderId="4" xfId="1" applyFont="1" applyFill="1" applyBorder="1" applyProtection="1"/>
    <xf numFmtId="43" fontId="2" fillId="3" borderId="6" xfId="1" applyFont="1" applyFill="1" applyBorder="1" applyProtection="1"/>
    <xf numFmtId="0" fontId="2" fillId="0" borderId="2" xfId="0" applyFont="1" applyBorder="1"/>
    <xf numFmtId="9" fontId="2" fillId="4" borderId="0" xfId="0" applyNumberFormat="1" applyFont="1" applyFill="1"/>
    <xf numFmtId="0" fontId="2" fillId="4" borderId="0" xfId="0" applyFont="1" applyFill="1"/>
    <xf numFmtId="0" fontId="2" fillId="0" borderId="10" xfId="0" applyFont="1" applyBorder="1" applyAlignment="1">
      <alignment horizontal="centerContinuous"/>
    </xf>
    <xf numFmtId="0" fontId="2" fillId="0" borderId="7" xfId="0" applyFont="1" applyBorder="1"/>
    <xf numFmtId="0" fontId="2" fillId="0" borderId="19" xfId="0" applyFont="1" applyBorder="1"/>
    <xf numFmtId="171" fontId="2" fillId="0" borderId="0" xfId="2" applyNumberFormat="1" applyFont="1"/>
    <xf numFmtId="171" fontId="15" fillId="2" borderId="0" xfId="2" applyNumberFormat="1" applyFont="1" applyFill="1"/>
    <xf numFmtId="171" fontId="2" fillId="2" borderId="0" xfId="1" applyNumberFormat="1" applyFont="1" applyFill="1" applyProtection="1"/>
    <xf numFmtId="171" fontId="15" fillId="2" borderId="0" xfId="0" applyNumberFormat="1" applyFont="1" applyFill="1"/>
    <xf numFmtId="0" fontId="16" fillId="0" borderId="0" xfId="0" applyFont="1"/>
    <xf numFmtId="171" fontId="2" fillId="2" borderId="0" xfId="0" applyNumberFormat="1" applyFont="1" applyFill="1"/>
    <xf numFmtId="167" fontId="2" fillId="2" borderId="0" xfId="0" applyNumberFormat="1" applyFont="1" applyFill="1"/>
    <xf numFmtId="37" fontId="2" fillId="2" borderId="21" xfId="0" applyNumberFormat="1" applyFont="1" applyFill="1" applyBorder="1"/>
    <xf numFmtId="173" fontId="2" fillId="0" borderId="0" xfId="0" applyNumberFormat="1" applyFont="1"/>
    <xf numFmtId="171" fontId="2" fillId="2" borderId="0" xfId="1" applyNumberFormat="1" applyFont="1" applyFill="1" applyProtection="1">
      <protection locked="0"/>
    </xf>
    <xf numFmtId="167" fontId="2" fillId="2" borderId="7" xfId="0" applyNumberFormat="1" applyFont="1" applyFill="1" applyBorder="1" applyProtection="1">
      <protection locked="0"/>
    </xf>
    <xf numFmtId="0" fontId="2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Continuous"/>
    </xf>
    <xf numFmtId="170" fontId="2" fillId="0" borderId="0" xfId="0" applyNumberFormat="1" applyFont="1"/>
    <xf numFmtId="169" fontId="2" fillId="0" borderId="0" xfId="0" applyNumberFormat="1" applyFont="1"/>
    <xf numFmtId="171" fontId="2" fillId="2" borderId="0" xfId="2" applyNumberFormat="1" applyFont="1" applyFill="1"/>
    <xf numFmtId="171" fontId="8" fillId="2" borderId="0" xfId="2" applyNumberFormat="1" applyFont="1" applyFill="1"/>
    <xf numFmtId="171" fontId="8" fillId="2" borderId="0" xfId="0" applyNumberFormat="1" applyFont="1" applyFill="1"/>
    <xf numFmtId="171" fontId="8" fillId="2" borderId="0" xfId="1" applyNumberFormat="1" applyFont="1" applyFill="1" applyProtection="1"/>
    <xf numFmtId="0" fontId="2" fillId="0" borderId="15" xfId="0" applyFont="1" applyBorder="1"/>
    <xf numFmtId="0" fontId="8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68" fontId="2" fillId="2" borderId="0" xfId="0" applyNumberFormat="1" applyFont="1" applyFill="1"/>
    <xf numFmtId="0" fontId="2" fillId="0" borderId="31" xfId="0" applyFont="1" applyBorder="1" applyAlignment="1">
      <alignment horizontal="left"/>
    </xf>
    <xf numFmtId="168" fontId="2" fillId="2" borderId="30" xfId="0" applyNumberFormat="1" applyFont="1" applyFill="1" applyBorder="1"/>
    <xf numFmtId="172" fontId="2" fillId="2" borderId="0" xfId="2" applyNumberFormat="1" applyFont="1" applyFill="1" applyProtection="1"/>
    <xf numFmtId="172" fontId="2" fillId="2" borderId="5" xfId="2" applyNumberFormat="1" applyFont="1" applyFill="1" applyBorder="1" applyProtection="1"/>
    <xf numFmtId="171" fontId="3" fillId="2" borderId="0" xfId="1" applyNumberFormat="1" applyFont="1" applyFill="1" applyProtection="1">
      <protection locked="0"/>
    </xf>
    <xf numFmtId="167" fontId="3" fillId="2" borderId="7" xfId="0" applyNumberFormat="1" applyFont="1" applyFill="1" applyBorder="1" applyProtection="1">
      <protection locked="0"/>
    </xf>
    <xf numFmtId="172" fontId="3" fillId="2" borderId="0" xfId="2" applyNumberFormat="1" applyFont="1" applyFill="1" applyProtection="1"/>
    <xf numFmtId="172" fontId="3" fillId="2" borderId="5" xfId="2" applyNumberFormat="1" applyFont="1" applyFill="1" applyBorder="1" applyProtection="1"/>
    <xf numFmtId="0" fontId="11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 3" xfId="4" xr:uid="{00000000-0005-0000-0000-000004000000}"/>
    <cellStyle name="Per 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106"/>
  <sheetViews>
    <sheetView tabSelected="1" zoomScaleNormal="100" workbookViewId="0">
      <selection activeCell="J15" sqref="J15"/>
    </sheetView>
  </sheetViews>
  <sheetFormatPr baseColWidth="10" defaultColWidth="9.1640625" defaultRowHeight="16" x14ac:dyDescent="0.2"/>
  <cols>
    <col min="1" max="1" width="13.5" style="2" customWidth="1"/>
    <col min="2" max="3" width="14" style="2" customWidth="1"/>
    <col min="4" max="4" width="13.33203125" style="2" customWidth="1"/>
    <col min="5" max="5" width="13.5" style="2" customWidth="1"/>
    <col min="6" max="6" width="14.33203125" style="2" bestFit="1" customWidth="1"/>
    <col min="7" max="7" width="12.33203125" style="2" bestFit="1" customWidth="1"/>
    <col min="8" max="8" width="14" style="2" customWidth="1"/>
    <col min="9" max="9" width="15.5" style="2" customWidth="1"/>
    <col min="10" max="10" width="14.83203125" style="2" customWidth="1"/>
    <col min="11" max="11" width="13.5" style="2" customWidth="1"/>
    <col min="12" max="16384" width="9.1640625" style="2"/>
  </cols>
  <sheetData>
    <row r="1" spans="1:8" ht="18" x14ac:dyDescent="0.2">
      <c r="A1" s="153" t="s">
        <v>84</v>
      </c>
      <c r="B1" s="153"/>
      <c r="C1" s="153"/>
      <c r="D1" s="153"/>
      <c r="E1" s="153"/>
      <c r="F1" s="153"/>
      <c r="G1" s="153"/>
    </row>
    <row r="3" spans="1:8" x14ac:dyDescent="0.2">
      <c r="A3" s="13" t="s">
        <v>75</v>
      </c>
      <c r="B3" s="3"/>
      <c r="C3" s="3"/>
      <c r="D3" s="3"/>
      <c r="E3" s="3"/>
      <c r="F3" s="3"/>
    </row>
    <row r="4" spans="1:8" ht="17" thickBot="1" x14ac:dyDescent="0.25">
      <c r="B4" s="3"/>
    </row>
    <row r="5" spans="1:8" ht="17" thickTop="1" x14ac:dyDescent="0.2">
      <c r="A5" s="52" t="s">
        <v>76</v>
      </c>
      <c r="B5" s="15"/>
      <c r="C5" s="15"/>
      <c r="D5" s="15"/>
      <c r="E5" s="16"/>
      <c r="F5" s="15"/>
      <c r="G5" s="17"/>
    </row>
    <row r="6" spans="1:8" x14ac:dyDescent="0.2">
      <c r="A6" s="18"/>
      <c r="B6" s="2" t="s">
        <v>77</v>
      </c>
      <c r="C6" s="2" t="s">
        <v>62</v>
      </c>
      <c r="D6" s="19"/>
      <c r="F6" s="3"/>
      <c r="G6" s="20"/>
    </row>
    <row r="7" spans="1:8" x14ac:dyDescent="0.2">
      <c r="A7" s="1" t="s">
        <v>72</v>
      </c>
      <c r="B7" s="58">
        <v>0.11865079999999999</v>
      </c>
      <c r="C7" s="145">
        <f>NPV(B87,D84:K84)+C84</f>
        <v>33612.67502902227</v>
      </c>
      <c r="F7" s="3" t="s">
        <v>73</v>
      </c>
      <c r="G7" s="27" t="s">
        <v>0</v>
      </c>
    </row>
    <row r="8" spans="1:8" x14ac:dyDescent="0.2">
      <c r="A8" s="1" t="s">
        <v>72</v>
      </c>
      <c r="B8" s="76">
        <f>B35</f>
        <v>7.8450800000000015E-2</v>
      </c>
      <c r="C8" s="126">
        <f>NPV(B88,D84:K84)+C84</f>
        <v>97988.15852328483</v>
      </c>
      <c r="E8" s="1" t="s">
        <v>64</v>
      </c>
      <c r="F8" s="147">
        <f>PMT(B88,K48,-I88)</f>
        <v>-165368.83670041765</v>
      </c>
      <c r="G8" s="148">
        <f>NPV(B88,D63:K63)+C63</f>
        <v>-886904.25392241718</v>
      </c>
    </row>
    <row r="9" spans="1:8" x14ac:dyDescent="0.2">
      <c r="A9" s="1" t="s">
        <v>72</v>
      </c>
      <c r="B9" s="59">
        <v>0.14000000000000001</v>
      </c>
      <c r="C9" s="145">
        <f>NPV(B89,D84:K84)+C84</f>
        <v>-27242.067874516943</v>
      </c>
      <c r="E9" s="1" t="s">
        <v>1</v>
      </c>
      <c r="F9" s="147">
        <f>PMT(B88,I81,-I89)</f>
        <v>-179869.87200000006</v>
      </c>
      <c r="G9" s="148">
        <f>NPV(B88,D77:I77)</f>
        <v>-786718.35261696333</v>
      </c>
      <c r="H9" s="83" t="s">
        <v>88</v>
      </c>
    </row>
    <row r="10" spans="1:8" ht="17" thickBot="1" x14ac:dyDescent="0.25">
      <c r="A10" s="24" t="s">
        <v>50</v>
      </c>
      <c r="B10" s="24"/>
      <c r="C10" s="146">
        <f>IRR(C84:K84)</f>
        <v>0.13012980558388532</v>
      </c>
      <c r="D10" s="24"/>
      <c r="E10" s="24" t="s">
        <v>1</v>
      </c>
      <c r="F10" s="147">
        <f>PMT(B88,K66,-I90)</f>
        <v>-183639.34077540346</v>
      </c>
      <c r="G10" s="147">
        <f>NPV(B88,D77:K77)</f>
        <v>-984892.41244570212</v>
      </c>
      <c r="H10" s="83" t="s">
        <v>89</v>
      </c>
    </row>
    <row r="11" spans="1:8" ht="18" thickTop="1" thickBot="1" x14ac:dyDescent="0.25">
      <c r="B11" s="3"/>
      <c r="D11" s="3"/>
      <c r="E11" s="3"/>
      <c r="F11" s="3"/>
    </row>
    <row r="12" spans="1:8" ht="19" thickTop="1" x14ac:dyDescent="0.2">
      <c r="A12" s="149" t="s">
        <v>81</v>
      </c>
      <c r="B12" s="150"/>
      <c r="C12" s="150"/>
      <c r="D12" s="150"/>
      <c r="E12" s="151"/>
      <c r="F12" s="3"/>
    </row>
    <row r="13" spans="1:8" x14ac:dyDescent="0.2">
      <c r="A13" s="152" t="s">
        <v>82</v>
      </c>
      <c r="B13" s="152"/>
      <c r="C13" s="152"/>
      <c r="D13" s="3"/>
      <c r="E13" s="53"/>
      <c r="F13" s="3"/>
    </row>
    <row r="14" spans="1:8" x14ac:dyDescent="0.2">
      <c r="A14" s="2" t="s">
        <v>2</v>
      </c>
      <c r="B14" s="3"/>
      <c r="C14" s="50">
        <v>0</v>
      </c>
      <c r="D14" s="3"/>
      <c r="E14" s="53"/>
      <c r="F14" s="3"/>
    </row>
    <row r="15" spans="1:8" ht="17" thickBot="1" x14ac:dyDescent="0.25">
      <c r="A15" s="2" t="s">
        <v>83</v>
      </c>
      <c r="B15" s="3"/>
      <c r="C15" s="51">
        <v>0</v>
      </c>
      <c r="D15" s="55"/>
      <c r="E15" s="54"/>
      <c r="F15" s="3"/>
    </row>
    <row r="16" spans="1:8" ht="17" thickTop="1" x14ac:dyDescent="0.2">
      <c r="A16" s="14"/>
      <c r="B16" s="15"/>
      <c r="C16" s="15"/>
      <c r="D16" s="15"/>
      <c r="E16" s="20"/>
    </row>
    <row r="17" spans="1:10" x14ac:dyDescent="0.2">
      <c r="A17" s="26" t="s">
        <v>58</v>
      </c>
      <c r="B17" s="3"/>
      <c r="C17" s="3"/>
      <c r="D17" s="3"/>
      <c r="E17" s="27"/>
    </row>
    <row r="18" spans="1:10" x14ac:dyDescent="0.2">
      <c r="A18" s="18"/>
      <c r="B18" s="12" t="s">
        <v>63</v>
      </c>
      <c r="D18" s="22" t="s">
        <v>3</v>
      </c>
      <c r="E18" s="27"/>
    </row>
    <row r="19" spans="1:10" x14ac:dyDescent="0.2">
      <c r="A19" s="18"/>
      <c r="B19" s="31" t="s">
        <v>4</v>
      </c>
      <c r="D19" s="31" t="s">
        <v>4</v>
      </c>
      <c r="E19" s="32" t="s">
        <v>5</v>
      </c>
    </row>
    <row r="20" spans="1:10" x14ac:dyDescent="0.2">
      <c r="A20" s="21" t="s">
        <v>6</v>
      </c>
      <c r="B20" s="86">
        <v>1</v>
      </c>
      <c r="D20" s="87">
        <v>12</v>
      </c>
      <c r="E20" s="88">
        <v>3</v>
      </c>
    </row>
    <row r="21" spans="1:10" x14ac:dyDescent="0.2">
      <c r="A21" s="21" t="s">
        <v>7</v>
      </c>
      <c r="B21" s="86">
        <v>8</v>
      </c>
      <c r="D21" s="87">
        <f>B21</f>
        <v>8</v>
      </c>
      <c r="E21" s="88">
        <f>B21</f>
        <v>8</v>
      </c>
    </row>
    <row r="22" spans="1:10" x14ac:dyDescent="0.2">
      <c r="A22" s="21" t="s">
        <v>8</v>
      </c>
      <c r="B22" s="86">
        <v>2</v>
      </c>
      <c r="D22" s="87">
        <f>B22</f>
        <v>2</v>
      </c>
      <c r="E22" s="88">
        <v>1</v>
      </c>
    </row>
    <row r="23" spans="1:10" x14ac:dyDescent="0.2">
      <c r="A23" s="21" t="s">
        <v>9</v>
      </c>
      <c r="B23" s="89">
        <v>11.36</v>
      </c>
      <c r="D23" s="89">
        <v>7.33</v>
      </c>
      <c r="E23" s="90">
        <v>7.85</v>
      </c>
    </row>
    <row r="24" spans="1:10" x14ac:dyDescent="0.2">
      <c r="A24" s="21" t="s">
        <v>10</v>
      </c>
      <c r="B24" s="91">
        <v>210</v>
      </c>
      <c r="D24" s="92">
        <f>B24</f>
        <v>210</v>
      </c>
      <c r="E24" s="93">
        <f>B24</f>
        <v>210</v>
      </c>
    </row>
    <row r="25" spans="1:10" ht="17" thickBot="1" x14ac:dyDescent="0.25">
      <c r="A25" s="18"/>
      <c r="B25" s="48">
        <f>B20*B21*B22*B23*B24</f>
        <v>38169.599999999999</v>
      </c>
      <c r="C25" s="56"/>
      <c r="D25" s="48">
        <f t="shared" ref="D25:E25" si="0">D20*D21*D22*D23*D24</f>
        <v>295545.60000000003</v>
      </c>
      <c r="E25" s="48">
        <f t="shared" si="0"/>
        <v>39563.999999999993</v>
      </c>
      <c r="F25" s="70"/>
      <c r="G25" s="37"/>
      <c r="H25" s="37"/>
      <c r="J25" s="37" t="s">
        <v>56</v>
      </c>
    </row>
    <row r="26" spans="1:10" ht="17" thickTop="1" x14ac:dyDescent="0.2">
      <c r="A26" s="18"/>
      <c r="E26" s="20"/>
    </row>
    <row r="27" spans="1:10" x14ac:dyDescent="0.2">
      <c r="A27" s="28"/>
      <c r="B27" s="29"/>
      <c r="C27" s="29"/>
      <c r="D27" s="29"/>
      <c r="E27" s="30"/>
    </row>
    <row r="28" spans="1:10" x14ac:dyDescent="0.2">
      <c r="A28" s="26" t="s">
        <v>11</v>
      </c>
      <c r="B28" s="3"/>
      <c r="C28" s="3"/>
      <c r="D28" s="3"/>
      <c r="E28" s="27"/>
    </row>
    <row r="29" spans="1:10" x14ac:dyDescent="0.2">
      <c r="A29" s="18" t="s">
        <v>80</v>
      </c>
      <c r="B29" s="85">
        <f>TestInflation</f>
        <v>0</v>
      </c>
      <c r="E29" s="20"/>
    </row>
    <row r="30" spans="1:10" x14ac:dyDescent="0.2">
      <c r="A30" s="18" t="s">
        <v>67</v>
      </c>
      <c r="B30" s="38">
        <f>0.023+B29</f>
        <v>2.3E-2</v>
      </c>
      <c r="E30" s="20"/>
    </row>
    <row r="31" spans="1:10" x14ac:dyDescent="0.2">
      <c r="A31" s="21" t="s">
        <v>68</v>
      </c>
      <c r="B31" s="38">
        <v>0.06</v>
      </c>
      <c r="C31" s="3"/>
      <c r="D31" s="1" t="s">
        <v>87</v>
      </c>
      <c r="E31" s="57">
        <v>1.25</v>
      </c>
    </row>
    <row r="32" spans="1:10" x14ac:dyDescent="0.2">
      <c r="A32" s="21" t="s">
        <v>12</v>
      </c>
      <c r="B32" s="94">
        <v>0.43</v>
      </c>
      <c r="D32" s="1" t="s">
        <v>13</v>
      </c>
      <c r="E32" s="47">
        <f>B30+(E31*B31)</f>
        <v>9.8000000000000004E-2</v>
      </c>
    </row>
    <row r="33" spans="1:11" x14ac:dyDescent="0.2">
      <c r="A33" s="21" t="s">
        <v>14</v>
      </c>
      <c r="B33" s="94">
        <v>6.8000000000000005E-2</v>
      </c>
      <c r="D33" s="1" t="s">
        <v>78</v>
      </c>
      <c r="E33" s="47">
        <v>0.33</v>
      </c>
    </row>
    <row r="34" spans="1:11" x14ac:dyDescent="0.2">
      <c r="A34" s="21" t="s">
        <v>15</v>
      </c>
      <c r="B34" s="46">
        <f>B33*(1-TAX)</f>
        <v>3.876000000000001E-2</v>
      </c>
      <c r="D34" s="1" t="s">
        <v>79</v>
      </c>
      <c r="E34" s="47">
        <v>0.67</v>
      </c>
    </row>
    <row r="35" spans="1:11" ht="17" thickBot="1" x14ac:dyDescent="0.25">
      <c r="A35" s="23" t="s">
        <v>11</v>
      </c>
      <c r="B35" s="75">
        <f>(E33*B34)+(E34*E32)</f>
        <v>7.8450800000000015E-2</v>
      </c>
      <c r="C35" s="24"/>
      <c r="D35" s="24"/>
      <c r="E35" s="25"/>
    </row>
    <row r="36" spans="1:11" ht="17" thickTop="1" x14ac:dyDescent="0.2">
      <c r="H36" s="2" t="s">
        <v>56</v>
      </c>
    </row>
    <row r="37" spans="1:11" x14ac:dyDescent="0.2">
      <c r="A37" s="4" t="s">
        <v>59</v>
      </c>
    </row>
    <row r="39" spans="1:11" x14ac:dyDescent="0.2">
      <c r="A39" s="33" t="s">
        <v>16</v>
      </c>
      <c r="B39" s="3"/>
      <c r="C39" s="3"/>
      <c r="D39" s="3"/>
      <c r="F39" s="33" t="s">
        <v>60</v>
      </c>
      <c r="G39" s="3"/>
      <c r="H39" s="3"/>
    </row>
    <row r="40" spans="1:11" x14ac:dyDescent="0.2">
      <c r="A40" s="1" t="s">
        <v>17</v>
      </c>
      <c r="D40" s="86">
        <v>415807</v>
      </c>
      <c r="F40" s="1" t="s">
        <v>18</v>
      </c>
      <c r="H40" s="86">
        <v>850000</v>
      </c>
    </row>
    <row r="41" spans="1:11" x14ac:dyDescent="0.2">
      <c r="A41" s="1" t="s">
        <v>19</v>
      </c>
      <c r="D41" s="86">
        <v>130682</v>
      </c>
      <c r="F41" s="1" t="s">
        <v>20</v>
      </c>
      <c r="H41" s="86">
        <v>5000</v>
      </c>
    </row>
    <row r="42" spans="1:11" x14ac:dyDescent="0.2">
      <c r="A42" s="1" t="s">
        <v>21</v>
      </c>
      <c r="D42" s="49">
        <f>D40-D41</f>
        <v>285125</v>
      </c>
      <c r="F42" s="1" t="s">
        <v>22</v>
      </c>
      <c r="H42" s="86">
        <v>155000</v>
      </c>
    </row>
    <row r="43" spans="1:11" ht="17" thickBot="1" x14ac:dyDescent="0.25">
      <c r="A43" s="1" t="s">
        <v>23</v>
      </c>
      <c r="D43" s="96">
        <v>130000</v>
      </c>
      <c r="F43" s="2" t="s">
        <v>71</v>
      </c>
      <c r="H43" s="95">
        <f>SUM(H40:H42)</f>
        <v>1010000</v>
      </c>
    </row>
    <row r="44" spans="1:11" ht="17" thickTop="1" x14ac:dyDescent="0.2">
      <c r="A44" s="1" t="s">
        <v>69</v>
      </c>
      <c r="D44" s="43">
        <f>D43-D42</f>
        <v>-155125</v>
      </c>
      <c r="F44" s="1" t="s">
        <v>24</v>
      </c>
      <c r="H44" s="43">
        <f>D43</f>
        <v>130000</v>
      </c>
    </row>
    <row r="45" spans="1:11" x14ac:dyDescent="0.2">
      <c r="A45" s="1" t="s">
        <v>34</v>
      </c>
      <c r="D45" s="44">
        <f>D44*B32</f>
        <v>-66703.75</v>
      </c>
      <c r="F45" s="1" t="s">
        <v>25</v>
      </c>
      <c r="H45" s="44">
        <f>-D44*B32</f>
        <v>66703.75</v>
      </c>
    </row>
    <row r="46" spans="1:11" ht="17" thickBot="1" x14ac:dyDescent="0.25">
      <c r="A46" s="1" t="s">
        <v>70</v>
      </c>
      <c r="D46" s="45">
        <f>D44-D45</f>
        <v>-88421.25</v>
      </c>
      <c r="F46" s="1" t="s">
        <v>26</v>
      </c>
      <c r="H46" s="45">
        <f>H43-(H45+H44)</f>
        <v>813296.25</v>
      </c>
    </row>
    <row r="47" spans="1:11" ht="17" thickTop="1" x14ac:dyDescent="0.2"/>
    <row r="48" spans="1:11" s="36" customFormat="1" x14ac:dyDescent="0.2">
      <c r="A48" s="35" t="s">
        <v>27</v>
      </c>
      <c r="C48" s="36">
        <v>0</v>
      </c>
      <c r="D48" s="36">
        <v>1</v>
      </c>
      <c r="E48" s="36">
        <v>2</v>
      </c>
      <c r="F48" s="36">
        <v>3</v>
      </c>
      <c r="G48" s="36">
        <v>4</v>
      </c>
      <c r="H48" s="36">
        <v>5</v>
      </c>
      <c r="I48" s="36">
        <v>6</v>
      </c>
      <c r="J48" s="36">
        <v>7</v>
      </c>
      <c r="K48" s="36">
        <v>8</v>
      </c>
    </row>
    <row r="50" spans="1:11" x14ac:dyDescent="0.2">
      <c r="A50" s="4" t="s">
        <v>61</v>
      </c>
    </row>
    <row r="52" spans="1:11" x14ac:dyDescent="0.2">
      <c r="A52" s="1" t="s">
        <v>28</v>
      </c>
      <c r="C52" s="66"/>
      <c r="D52" s="67">
        <f t="shared" ref="D52:K52" si="1">(-$B$25*(1+TestInflation)^C48)</f>
        <v>-38169.599999999999</v>
      </c>
      <c r="E52" s="67">
        <f t="shared" si="1"/>
        <v>-38169.599999999999</v>
      </c>
      <c r="F52" s="67">
        <f t="shared" si="1"/>
        <v>-38169.599999999999</v>
      </c>
      <c r="G52" s="67">
        <f t="shared" si="1"/>
        <v>-38169.599999999999</v>
      </c>
      <c r="H52" s="67">
        <f t="shared" si="1"/>
        <v>-38169.599999999999</v>
      </c>
      <c r="I52" s="67">
        <f t="shared" si="1"/>
        <v>-38169.599999999999</v>
      </c>
      <c r="J52" s="67">
        <f t="shared" si="1"/>
        <v>-38169.599999999999</v>
      </c>
      <c r="K52" s="67">
        <f t="shared" si="1"/>
        <v>-38169.599999999999</v>
      </c>
    </row>
    <row r="53" spans="1:11" x14ac:dyDescent="0.2">
      <c r="A53" s="1" t="s">
        <v>29</v>
      </c>
      <c r="C53" s="66"/>
      <c r="D53" s="67">
        <f>-$D$25*($C$15)</f>
        <v>0</v>
      </c>
      <c r="E53" s="67">
        <f>-$D$25*($C$15)</f>
        <v>0</v>
      </c>
      <c r="F53" s="67">
        <f t="shared" ref="F53:K53" si="2">-$D$25*($C$15)</f>
        <v>0</v>
      </c>
      <c r="G53" s="67">
        <f t="shared" si="2"/>
        <v>0</v>
      </c>
      <c r="H53" s="67">
        <f t="shared" si="2"/>
        <v>0</v>
      </c>
      <c r="I53" s="67">
        <f t="shared" si="2"/>
        <v>0</v>
      </c>
      <c r="J53" s="67">
        <f t="shared" si="2"/>
        <v>0</v>
      </c>
      <c r="K53" s="67">
        <f t="shared" si="2"/>
        <v>0</v>
      </c>
    </row>
    <row r="54" spans="1:11" x14ac:dyDescent="0.2">
      <c r="A54" s="1" t="s">
        <v>30</v>
      </c>
      <c r="C54" s="66"/>
      <c r="D54" s="67">
        <f t="shared" ref="D54:K54" si="3">-59500*(1+TestInflation)^C48</f>
        <v>-59500</v>
      </c>
      <c r="E54" s="67">
        <f t="shared" si="3"/>
        <v>-59500</v>
      </c>
      <c r="F54" s="67">
        <f t="shared" si="3"/>
        <v>-59500</v>
      </c>
      <c r="G54" s="67">
        <f t="shared" si="3"/>
        <v>-59500</v>
      </c>
      <c r="H54" s="67">
        <f t="shared" si="3"/>
        <v>-59500</v>
      </c>
      <c r="I54" s="67">
        <f t="shared" si="3"/>
        <v>-59500</v>
      </c>
      <c r="J54" s="67">
        <f t="shared" si="3"/>
        <v>-59500</v>
      </c>
      <c r="K54" s="67">
        <f t="shared" si="3"/>
        <v>-59500</v>
      </c>
    </row>
    <row r="55" spans="1:11" x14ac:dyDescent="0.2">
      <c r="A55" s="1" t="s">
        <v>85</v>
      </c>
      <c r="C55" s="66"/>
      <c r="D55" s="67">
        <f t="shared" ref="D55:K55" si="4">-26850*(1+TestInflation)^C48</f>
        <v>-26850</v>
      </c>
      <c r="E55" s="67">
        <f t="shared" si="4"/>
        <v>-26850</v>
      </c>
      <c r="F55" s="67">
        <f t="shared" si="4"/>
        <v>-26850</v>
      </c>
      <c r="G55" s="67">
        <f t="shared" si="4"/>
        <v>-26850</v>
      </c>
      <c r="H55" s="67">
        <f t="shared" si="4"/>
        <v>-26850</v>
      </c>
      <c r="I55" s="67">
        <f t="shared" si="4"/>
        <v>-26850</v>
      </c>
      <c r="J55" s="67">
        <f t="shared" si="4"/>
        <v>-26850</v>
      </c>
      <c r="K55" s="67">
        <f t="shared" si="4"/>
        <v>-26850</v>
      </c>
    </row>
    <row r="56" spans="1:11" x14ac:dyDescent="0.2">
      <c r="A56" s="1" t="s">
        <v>31</v>
      </c>
      <c r="C56" s="66"/>
      <c r="D56" s="67">
        <f t="shared" ref="D56:K56" si="5">(5200*(1+TestInflation)^C48)</f>
        <v>5200</v>
      </c>
      <c r="E56" s="67">
        <f t="shared" si="5"/>
        <v>5200</v>
      </c>
      <c r="F56" s="67">
        <f t="shared" si="5"/>
        <v>5200</v>
      </c>
      <c r="G56" s="67">
        <f t="shared" si="5"/>
        <v>5200</v>
      </c>
      <c r="H56" s="67">
        <f t="shared" si="5"/>
        <v>5200</v>
      </c>
      <c r="I56" s="67">
        <f t="shared" si="5"/>
        <v>5200</v>
      </c>
      <c r="J56" s="67">
        <f t="shared" si="5"/>
        <v>5200</v>
      </c>
      <c r="K56" s="67">
        <f t="shared" si="5"/>
        <v>5200</v>
      </c>
    </row>
    <row r="57" spans="1:11" x14ac:dyDescent="0.2">
      <c r="A57" s="1" t="s">
        <v>32</v>
      </c>
      <c r="C57" s="66"/>
      <c r="D57" s="68">
        <f>-$H$43/8</f>
        <v>-126250</v>
      </c>
      <c r="E57" s="68">
        <f t="shared" ref="E57:K57" si="6">-$H$43/8</f>
        <v>-126250</v>
      </c>
      <c r="F57" s="68">
        <f t="shared" si="6"/>
        <v>-126250</v>
      </c>
      <c r="G57" s="68">
        <f t="shared" si="6"/>
        <v>-126250</v>
      </c>
      <c r="H57" s="68">
        <f t="shared" si="6"/>
        <v>-126250</v>
      </c>
      <c r="I57" s="68">
        <f t="shared" si="6"/>
        <v>-126250</v>
      </c>
      <c r="J57" s="68">
        <f t="shared" si="6"/>
        <v>-126250</v>
      </c>
      <c r="K57" s="68">
        <f t="shared" si="6"/>
        <v>-126250</v>
      </c>
    </row>
    <row r="58" spans="1:11" x14ac:dyDescent="0.2">
      <c r="A58" s="1" t="s">
        <v>33</v>
      </c>
      <c r="C58" s="66"/>
      <c r="D58" s="67">
        <f>SUM(D52:D57)</f>
        <v>-245569.6</v>
      </c>
      <c r="E58" s="67">
        <f>SUM(E52:E57)</f>
        <v>-245569.6</v>
      </c>
      <c r="F58" s="67">
        <f t="shared" ref="F58:K58" si="7">SUM(F52:F57)</f>
        <v>-245569.6</v>
      </c>
      <c r="G58" s="67">
        <f t="shared" si="7"/>
        <v>-245569.6</v>
      </c>
      <c r="H58" s="67">
        <f t="shared" si="7"/>
        <v>-245569.6</v>
      </c>
      <c r="I58" s="67">
        <f t="shared" si="7"/>
        <v>-245569.6</v>
      </c>
      <c r="J58" s="67">
        <f t="shared" si="7"/>
        <v>-245569.6</v>
      </c>
      <c r="K58" s="67">
        <f t="shared" si="7"/>
        <v>-245569.6</v>
      </c>
    </row>
    <row r="59" spans="1:11" x14ac:dyDescent="0.2">
      <c r="A59" s="1" t="s">
        <v>34</v>
      </c>
      <c r="C59" s="66"/>
      <c r="D59" s="68">
        <f t="shared" ref="D59:K59" si="8">D58*TAX</f>
        <v>-105594.928</v>
      </c>
      <c r="E59" s="68">
        <f t="shared" si="8"/>
        <v>-105594.928</v>
      </c>
      <c r="F59" s="68">
        <f t="shared" si="8"/>
        <v>-105594.928</v>
      </c>
      <c r="G59" s="68">
        <f t="shared" si="8"/>
        <v>-105594.928</v>
      </c>
      <c r="H59" s="68">
        <f t="shared" si="8"/>
        <v>-105594.928</v>
      </c>
      <c r="I59" s="68">
        <f t="shared" si="8"/>
        <v>-105594.928</v>
      </c>
      <c r="J59" s="68">
        <f t="shared" si="8"/>
        <v>-105594.928</v>
      </c>
      <c r="K59" s="68">
        <f t="shared" si="8"/>
        <v>-105594.928</v>
      </c>
    </row>
    <row r="60" spans="1:11" x14ac:dyDescent="0.2">
      <c r="A60" s="1" t="s">
        <v>35</v>
      </c>
      <c r="C60" s="66"/>
      <c r="D60" s="67">
        <f>D58-D59</f>
        <v>-139974.67200000002</v>
      </c>
      <c r="E60" s="67">
        <f t="shared" ref="E60:K60" si="9">E58-E59</f>
        <v>-139974.67200000002</v>
      </c>
      <c r="F60" s="67">
        <f t="shared" si="9"/>
        <v>-139974.67200000002</v>
      </c>
      <c r="G60" s="67">
        <f t="shared" si="9"/>
        <v>-139974.67200000002</v>
      </c>
      <c r="H60" s="67">
        <f t="shared" si="9"/>
        <v>-139974.67200000002</v>
      </c>
      <c r="I60" s="67">
        <f t="shared" si="9"/>
        <v>-139974.67200000002</v>
      </c>
      <c r="J60" s="67">
        <f t="shared" si="9"/>
        <v>-139974.67200000002</v>
      </c>
      <c r="K60" s="67">
        <f t="shared" si="9"/>
        <v>-139974.67200000002</v>
      </c>
    </row>
    <row r="61" spans="1:11" x14ac:dyDescent="0.2">
      <c r="A61" s="1" t="s">
        <v>36</v>
      </c>
      <c r="C61" s="66"/>
      <c r="D61" s="67">
        <f>-D57</f>
        <v>126250</v>
      </c>
      <c r="E61" s="67">
        <f t="shared" ref="E61:K61" si="10">-E57</f>
        <v>126250</v>
      </c>
      <c r="F61" s="67">
        <f t="shared" si="10"/>
        <v>126250</v>
      </c>
      <c r="G61" s="67">
        <f t="shared" si="10"/>
        <v>126250</v>
      </c>
      <c r="H61" s="67">
        <f t="shared" si="10"/>
        <v>126250</v>
      </c>
      <c r="I61" s="67">
        <f t="shared" si="10"/>
        <v>126250</v>
      </c>
      <c r="J61" s="67">
        <f t="shared" si="10"/>
        <v>126250</v>
      </c>
      <c r="K61" s="67">
        <f t="shared" si="10"/>
        <v>126250</v>
      </c>
    </row>
    <row r="62" spans="1:11" x14ac:dyDescent="0.2">
      <c r="A62" s="1" t="s">
        <v>37</v>
      </c>
      <c r="C62" s="69">
        <f>-H46</f>
        <v>-813296.25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</row>
    <row r="63" spans="1:11" s="83" customFormat="1" ht="17" thickBot="1" x14ac:dyDescent="0.25">
      <c r="A63" s="4" t="s">
        <v>38</v>
      </c>
      <c r="C63" s="97">
        <f>SUM(C60:C62)</f>
        <v>-813296.25</v>
      </c>
      <c r="D63" s="97">
        <f t="shared" ref="D63:K63" si="11">SUM(D60:D62)</f>
        <v>-13724.67200000002</v>
      </c>
      <c r="E63" s="97">
        <f t="shared" si="11"/>
        <v>-13724.67200000002</v>
      </c>
      <c r="F63" s="97">
        <f t="shared" si="11"/>
        <v>-13724.67200000002</v>
      </c>
      <c r="G63" s="97">
        <f t="shared" si="11"/>
        <v>-13724.67200000002</v>
      </c>
      <c r="H63" s="97">
        <f t="shared" si="11"/>
        <v>-13724.67200000002</v>
      </c>
      <c r="I63" s="97">
        <f t="shared" si="11"/>
        <v>-13724.67200000002</v>
      </c>
      <c r="J63" s="97">
        <f t="shared" si="11"/>
        <v>-13724.67200000002</v>
      </c>
      <c r="K63" s="97">
        <f t="shared" si="11"/>
        <v>-13724.67200000002</v>
      </c>
    </row>
    <row r="64" spans="1:11" ht="17" thickTop="1" x14ac:dyDescent="0.2"/>
    <row r="65" spans="1:14" x14ac:dyDescent="0.2">
      <c r="A65" s="4" t="s">
        <v>39</v>
      </c>
      <c r="C65" s="5"/>
      <c r="D65" s="5"/>
      <c r="E65" s="5"/>
      <c r="F65" s="5"/>
      <c r="G65" s="5"/>
      <c r="H65" s="5"/>
      <c r="I65" s="5"/>
      <c r="J65" s="5"/>
      <c r="K65" s="5"/>
    </row>
    <row r="66" spans="1:14" x14ac:dyDescent="0.2">
      <c r="C66" s="36">
        <v>0</v>
      </c>
      <c r="D66" s="36">
        <v>1</v>
      </c>
      <c r="E66" s="36">
        <v>2</v>
      </c>
      <c r="F66" s="36">
        <v>3</v>
      </c>
      <c r="G66" s="36">
        <v>4</v>
      </c>
      <c r="H66" s="36">
        <v>5</v>
      </c>
      <c r="I66" s="36">
        <v>6</v>
      </c>
      <c r="J66" s="36">
        <v>7</v>
      </c>
      <c r="K66" s="36">
        <v>8</v>
      </c>
    </row>
    <row r="67" spans="1:14" x14ac:dyDescent="0.2">
      <c r="A67" s="1" t="s">
        <v>40</v>
      </c>
      <c r="C67" s="5"/>
      <c r="D67" s="61">
        <f t="shared" ref="D67:K67" si="12">(-$D$25*(1+TestInflation)^C66)</f>
        <v>-295545.60000000003</v>
      </c>
      <c r="E67" s="61">
        <f t="shared" si="12"/>
        <v>-295545.60000000003</v>
      </c>
      <c r="F67" s="61">
        <f t="shared" si="12"/>
        <v>-295545.60000000003</v>
      </c>
      <c r="G67" s="61">
        <f t="shared" si="12"/>
        <v>-295545.60000000003</v>
      </c>
      <c r="H67" s="61">
        <f t="shared" si="12"/>
        <v>-295545.60000000003</v>
      </c>
      <c r="I67" s="61">
        <f t="shared" si="12"/>
        <v>-295545.60000000003</v>
      </c>
      <c r="J67" s="61">
        <f t="shared" si="12"/>
        <v>-295545.60000000003</v>
      </c>
      <c r="K67" s="61">
        <f t="shared" si="12"/>
        <v>-295545.60000000003</v>
      </c>
      <c r="L67" s="71"/>
      <c r="M67" s="72"/>
      <c r="N67" s="71"/>
    </row>
    <row r="68" spans="1:14" x14ac:dyDescent="0.2">
      <c r="A68" s="1" t="s">
        <v>41</v>
      </c>
      <c r="C68" s="5"/>
      <c r="D68" s="61">
        <f t="shared" ref="D68:K68" si="13">(-$E$25*(1+TestInflation)^C66)</f>
        <v>-39563.999999999993</v>
      </c>
      <c r="E68" s="61">
        <f t="shared" si="13"/>
        <v>-39563.999999999993</v>
      </c>
      <c r="F68" s="61">
        <f t="shared" si="13"/>
        <v>-39563.999999999993</v>
      </c>
      <c r="G68" s="61">
        <f t="shared" si="13"/>
        <v>-39563.999999999993</v>
      </c>
      <c r="H68" s="61">
        <f t="shared" si="13"/>
        <v>-39563.999999999993</v>
      </c>
      <c r="I68" s="61">
        <f t="shared" si="13"/>
        <v>-39563.999999999993</v>
      </c>
      <c r="J68" s="61">
        <f t="shared" si="13"/>
        <v>-39563.999999999993</v>
      </c>
      <c r="K68" s="61">
        <f t="shared" si="13"/>
        <v>-39563.999999999993</v>
      </c>
      <c r="L68" s="71"/>
      <c r="M68" s="71"/>
      <c r="N68" s="71"/>
    </row>
    <row r="69" spans="1:14" x14ac:dyDescent="0.2">
      <c r="A69" s="1" t="s">
        <v>42</v>
      </c>
      <c r="C69" s="5"/>
      <c r="D69" s="61">
        <f t="shared" ref="D69:K69" si="14">-4000*(1+TestInflation)^C66</f>
        <v>-4000</v>
      </c>
      <c r="E69" s="61">
        <f t="shared" si="14"/>
        <v>-4000</v>
      </c>
      <c r="F69" s="61">
        <f t="shared" si="14"/>
        <v>-4000</v>
      </c>
      <c r="G69" s="61">
        <f t="shared" si="14"/>
        <v>-4000</v>
      </c>
      <c r="H69" s="61">
        <f t="shared" si="14"/>
        <v>-4000</v>
      </c>
      <c r="I69" s="61">
        <f t="shared" si="14"/>
        <v>-4000</v>
      </c>
      <c r="J69" s="61">
        <f t="shared" si="14"/>
        <v>-4000</v>
      </c>
      <c r="K69" s="61">
        <f t="shared" si="14"/>
        <v>-4000</v>
      </c>
      <c r="L69" s="71"/>
      <c r="M69" s="71"/>
      <c r="N69" s="71"/>
    </row>
    <row r="70" spans="1:14" x14ac:dyDescent="0.2">
      <c r="A70" s="1" t="s">
        <v>86</v>
      </c>
      <c r="C70" s="5"/>
      <c r="D70" s="61">
        <f t="shared" ref="D70:K70" si="15">-12300*(1+TestInflation)^C66</f>
        <v>-12300</v>
      </c>
      <c r="E70" s="61">
        <f t="shared" si="15"/>
        <v>-12300</v>
      </c>
      <c r="F70" s="61">
        <f t="shared" si="15"/>
        <v>-12300</v>
      </c>
      <c r="G70" s="61">
        <f t="shared" si="15"/>
        <v>-12300</v>
      </c>
      <c r="H70" s="61">
        <f t="shared" si="15"/>
        <v>-12300</v>
      </c>
      <c r="I70" s="61">
        <f t="shared" si="15"/>
        <v>-12300</v>
      </c>
      <c r="J70" s="61">
        <f t="shared" si="15"/>
        <v>-12300</v>
      </c>
      <c r="K70" s="61">
        <f t="shared" si="15"/>
        <v>-12300</v>
      </c>
      <c r="L70" s="71"/>
      <c r="M70" s="73"/>
      <c r="N70" s="74"/>
    </row>
    <row r="71" spans="1:14" x14ac:dyDescent="0.2">
      <c r="A71" s="1" t="s">
        <v>32</v>
      </c>
      <c r="C71" s="5"/>
      <c r="D71" s="62">
        <f>-47520</f>
        <v>-47520</v>
      </c>
      <c r="E71" s="62">
        <f t="shared" ref="E71:I71" si="16">-47520</f>
        <v>-47520</v>
      </c>
      <c r="F71" s="62">
        <f t="shared" si="16"/>
        <v>-47520</v>
      </c>
      <c r="G71" s="62">
        <f t="shared" si="16"/>
        <v>-47520</v>
      </c>
      <c r="H71" s="62">
        <f t="shared" si="16"/>
        <v>-47520</v>
      </c>
      <c r="I71" s="62">
        <f t="shared" si="16"/>
        <v>-47520</v>
      </c>
      <c r="J71" s="62">
        <v>0</v>
      </c>
      <c r="K71" s="62">
        <v>0</v>
      </c>
      <c r="L71" s="71"/>
      <c r="M71" s="73"/>
      <c r="N71" s="74"/>
    </row>
    <row r="72" spans="1:14" x14ac:dyDescent="0.2">
      <c r="A72" s="1" t="s">
        <v>33</v>
      </c>
      <c r="C72" s="5"/>
      <c r="D72" s="61">
        <f>SUM(D67:D71)</f>
        <v>-398929.60000000003</v>
      </c>
      <c r="E72" s="61">
        <f t="shared" ref="E72:K72" si="17">SUM(E67:E71)</f>
        <v>-398929.60000000003</v>
      </c>
      <c r="F72" s="61">
        <f t="shared" si="17"/>
        <v>-398929.60000000003</v>
      </c>
      <c r="G72" s="61">
        <f t="shared" si="17"/>
        <v>-398929.60000000003</v>
      </c>
      <c r="H72" s="61">
        <f t="shared" si="17"/>
        <v>-398929.60000000003</v>
      </c>
      <c r="I72" s="61">
        <f t="shared" si="17"/>
        <v>-398929.60000000003</v>
      </c>
      <c r="J72" s="61">
        <f t="shared" si="17"/>
        <v>-351409.60000000003</v>
      </c>
      <c r="K72" s="61">
        <f t="shared" si="17"/>
        <v>-351409.60000000003</v>
      </c>
      <c r="L72" s="71"/>
      <c r="M72" s="73"/>
      <c r="N72" s="74"/>
    </row>
    <row r="73" spans="1:14" x14ac:dyDescent="0.2">
      <c r="A73" s="1" t="s">
        <v>34</v>
      </c>
      <c r="C73" s="5"/>
      <c r="D73" s="63">
        <f t="shared" ref="D73:K73" si="18">D72*TAX</f>
        <v>-171539.728</v>
      </c>
      <c r="E73" s="63">
        <f t="shared" si="18"/>
        <v>-171539.728</v>
      </c>
      <c r="F73" s="63">
        <f t="shared" si="18"/>
        <v>-171539.728</v>
      </c>
      <c r="G73" s="63">
        <f t="shared" si="18"/>
        <v>-171539.728</v>
      </c>
      <c r="H73" s="63">
        <f t="shared" si="18"/>
        <v>-171539.728</v>
      </c>
      <c r="I73" s="63">
        <f t="shared" si="18"/>
        <v>-171539.728</v>
      </c>
      <c r="J73" s="63">
        <f t="shared" si="18"/>
        <v>-151106.12800000003</v>
      </c>
      <c r="K73" s="63">
        <f t="shared" si="18"/>
        <v>-151106.12800000003</v>
      </c>
      <c r="L73" s="71"/>
      <c r="M73" s="73"/>
      <c r="N73" s="74"/>
    </row>
    <row r="74" spans="1:14" x14ac:dyDescent="0.2">
      <c r="A74" s="1" t="s">
        <v>43</v>
      </c>
      <c r="C74" s="5"/>
      <c r="D74" s="64">
        <f>D72-D73</f>
        <v>-227389.87200000003</v>
      </c>
      <c r="E74" s="64">
        <f t="shared" ref="E74:K74" si="19">E72-E73</f>
        <v>-227389.87200000003</v>
      </c>
      <c r="F74" s="64">
        <f t="shared" si="19"/>
        <v>-227389.87200000003</v>
      </c>
      <c r="G74" s="64">
        <f t="shared" si="19"/>
        <v>-227389.87200000003</v>
      </c>
      <c r="H74" s="64">
        <f t="shared" si="19"/>
        <v>-227389.87200000003</v>
      </c>
      <c r="I74" s="64">
        <f t="shared" si="19"/>
        <v>-227389.87200000003</v>
      </c>
      <c r="J74" s="64">
        <f t="shared" si="19"/>
        <v>-200303.47200000001</v>
      </c>
      <c r="K74" s="64">
        <f t="shared" si="19"/>
        <v>-200303.47200000001</v>
      </c>
      <c r="L74" s="71"/>
      <c r="M74" s="73"/>
      <c r="N74" s="74"/>
    </row>
    <row r="75" spans="1:14" x14ac:dyDescent="0.2">
      <c r="A75" s="1" t="s">
        <v>44</v>
      </c>
      <c r="C75" s="5"/>
      <c r="D75" s="64">
        <f>-D71</f>
        <v>47520</v>
      </c>
      <c r="E75" s="64">
        <f t="shared" ref="E75:K75" si="20">-E71</f>
        <v>47520</v>
      </c>
      <c r="F75" s="64">
        <f t="shared" si="20"/>
        <v>47520</v>
      </c>
      <c r="G75" s="64">
        <f t="shared" si="20"/>
        <v>47520</v>
      </c>
      <c r="H75" s="64">
        <f t="shared" si="20"/>
        <v>47520</v>
      </c>
      <c r="I75" s="64">
        <f t="shared" si="20"/>
        <v>47520</v>
      </c>
      <c r="J75" s="64">
        <f t="shared" si="20"/>
        <v>0</v>
      </c>
      <c r="K75" s="64">
        <f t="shared" si="20"/>
        <v>0</v>
      </c>
      <c r="L75" s="71"/>
    </row>
    <row r="76" spans="1:14" x14ac:dyDescent="0.2">
      <c r="A76" s="1" t="s">
        <v>45</v>
      </c>
      <c r="C76" s="5"/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71"/>
    </row>
    <row r="77" spans="1:14" s="83" customFormat="1" ht="17" thickBot="1" x14ac:dyDescent="0.25">
      <c r="A77" s="4" t="s">
        <v>46</v>
      </c>
      <c r="C77" s="100"/>
      <c r="D77" s="97">
        <f>SUM(D74:D76)</f>
        <v>-179869.87200000003</v>
      </c>
      <c r="E77" s="97">
        <f t="shared" ref="E77:K77" si="21">SUM(E74:E76)</f>
        <v>-179869.87200000003</v>
      </c>
      <c r="F77" s="97">
        <f t="shared" si="21"/>
        <v>-179869.87200000003</v>
      </c>
      <c r="G77" s="97">
        <f t="shared" si="21"/>
        <v>-179869.87200000003</v>
      </c>
      <c r="H77" s="97">
        <f t="shared" si="21"/>
        <v>-179869.87200000003</v>
      </c>
      <c r="I77" s="97">
        <f t="shared" si="21"/>
        <v>-179869.87200000003</v>
      </c>
      <c r="J77" s="97">
        <f t="shared" si="21"/>
        <v>-200303.47200000001</v>
      </c>
      <c r="K77" s="97">
        <f t="shared" si="21"/>
        <v>-200303.47200000001</v>
      </c>
      <c r="L77" s="101"/>
    </row>
    <row r="78" spans="1:14" ht="17" thickTop="1" x14ac:dyDescent="0.2">
      <c r="A78" s="6"/>
      <c r="C78" s="5"/>
      <c r="D78" s="5"/>
      <c r="E78" s="5"/>
      <c r="F78" s="5"/>
      <c r="G78" s="5"/>
      <c r="H78" s="34"/>
      <c r="I78" s="34"/>
      <c r="J78" s="34"/>
      <c r="K78" s="34"/>
    </row>
    <row r="80" spans="1:14" x14ac:dyDescent="0.2">
      <c r="A80" s="4" t="s">
        <v>47</v>
      </c>
    </row>
    <row r="81" spans="1:11" x14ac:dyDescent="0.2">
      <c r="C81" s="36">
        <v>0</v>
      </c>
      <c r="D81" s="36">
        <v>1</v>
      </c>
      <c r="E81" s="36">
        <v>2</v>
      </c>
      <c r="F81" s="36">
        <v>3</v>
      </c>
      <c r="G81" s="36">
        <v>4</v>
      </c>
      <c r="H81" s="36">
        <v>5</v>
      </c>
      <c r="I81" s="36">
        <v>6</v>
      </c>
      <c r="J81" s="36">
        <v>7</v>
      </c>
      <c r="K81" s="36">
        <v>8</v>
      </c>
    </row>
    <row r="82" spans="1:11" x14ac:dyDescent="0.2">
      <c r="A82" s="1" t="s">
        <v>48</v>
      </c>
      <c r="C82" s="61">
        <f>C63</f>
        <v>-813296.25</v>
      </c>
      <c r="D82" s="61">
        <f t="shared" ref="D82:K82" si="22">D63</f>
        <v>-13724.67200000002</v>
      </c>
      <c r="E82" s="61">
        <f t="shared" si="22"/>
        <v>-13724.67200000002</v>
      </c>
      <c r="F82" s="61">
        <f t="shared" si="22"/>
        <v>-13724.67200000002</v>
      </c>
      <c r="G82" s="61">
        <f t="shared" si="22"/>
        <v>-13724.67200000002</v>
      </c>
      <c r="H82" s="61">
        <f t="shared" si="22"/>
        <v>-13724.67200000002</v>
      </c>
      <c r="I82" s="61">
        <f t="shared" si="22"/>
        <v>-13724.67200000002</v>
      </c>
      <c r="J82" s="61">
        <f t="shared" si="22"/>
        <v>-13724.67200000002</v>
      </c>
      <c r="K82" s="61">
        <f t="shared" si="22"/>
        <v>-13724.67200000002</v>
      </c>
    </row>
    <row r="83" spans="1:11" x14ac:dyDescent="0.2">
      <c r="A83" s="1" t="s">
        <v>49</v>
      </c>
      <c r="C83" s="65">
        <f>C77</f>
        <v>0</v>
      </c>
      <c r="D83" s="65">
        <f t="shared" ref="D83:K83" si="23">D77</f>
        <v>-179869.87200000003</v>
      </c>
      <c r="E83" s="65">
        <f t="shared" si="23"/>
        <v>-179869.87200000003</v>
      </c>
      <c r="F83" s="65">
        <f t="shared" si="23"/>
        <v>-179869.87200000003</v>
      </c>
      <c r="G83" s="65">
        <f t="shared" si="23"/>
        <v>-179869.87200000003</v>
      </c>
      <c r="H83" s="65">
        <f t="shared" si="23"/>
        <v>-179869.87200000003</v>
      </c>
      <c r="I83" s="65">
        <f t="shared" si="23"/>
        <v>-179869.87200000003</v>
      </c>
      <c r="J83" s="65">
        <f t="shared" si="23"/>
        <v>-200303.47200000001</v>
      </c>
      <c r="K83" s="65">
        <f t="shared" si="23"/>
        <v>-200303.47200000001</v>
      </c>
    </row>
    <row r="84" spans="1:11" s="83" customFormat="1" ht="17" thickBot="1" x14ac:dyDescent="0.25">
      <c r="A84" s="4" t="s">
        <v>74</v>
      </c>
      <c r="C84" s="102">
        <f>C82-C83</f>
        <v>-813296.25</v>
      </c>
      <c r="D84" s="102">
        <f>D82-D83</f>
        <v>166145.20000000001</v>
      </c>
      <c r="E84" s="102">
        <f t="shared" ref="E84:K84" si="24">E82-E83</f>
        <v>166145.20000000001</v>
      </c>
      <c r="F84" s="102">
        <f t="shared" si="24"/>
        <v>166145.20000000001</v>
      </c>
      <c r="G84" s="102">
        <f t="shared" si="24"/>
        <v>166145.20000000001</v>
      </c>
      <c r="H84" s="102">
        <f t="shared" si="24"/>
        <v>166145.20000000001</v>
      </c>
      <c r="I84" s="102">
        <f t="shared" si="24"/>
        <v>166145.20000000001</v>
      </c>
      <c r="J84" s="102">
        <f t="shared" si="24"/>
        <v>186578.8</v>
      </c>
      <c r="K84" s="102">
        <f t="shared" si="24"/>
        <v>186578.8</v>
      </c>
    </row>
    <row r="85" spans="1:11" customFormat="1" ht="14" thickTop="1" x14ac:dyDescent="0.15">
      <c r="B85" s="107"/>
      <c r="C85" s="107"/>
      <c r="D85" s="107"/>
      <c r="E85" s="107"/>
      <c r="F85" s="107"/>
      <c r="G85" s="107"/>
    </row>
    <row r="86" spans="1:11" x14ac:dyDescent="0.2">
      <c r="B86" s="2" t="s">
        <v>77</v>
      </c>
      <c r="C86" s="2" t="s">
        <v>62</v>
      </c>
    </row>
    <row r="87" spans="1:11" x14ac:dyDescent="0.2">
      <c r="A87" s="1" t="s">
        <v>72</v>
      </c>
      <c r="B87" s="58">
        <v>0.11865079999999999</v>
      </c>
      <c r="C87" s="64">
        <f>NPV(B87,D84:K84)+C84</f>
        <v>33612.67502902227</v>
      </c>
      <c r="D87" s="60"/>
      <c r="E87" s="60"/>
      <c r="F87" s="7"/>
      <c r="G87" s="8" t="s">
        <v>73</v>
      </c>
      <c r="H87" s="9"/>
      <c r="I87" s="10" t="s">
        <v>0</v>
      </c>
    </row>
    <row r="88" spans="1:11" x14ac:dyDescent="0.2">
      <c r="A88" s="1" t="s">
        <v>72</v>
      </c>
      <c r="B88" s="76">
        <v>9.8550800000000008E-2</v>
      </c>
      <c r="C88" s="77">
        <f>NPV(B88,D84:K84)+C84</f>
        <v>97988.15852328483</v>
      </c>
      <c r="F88" s="11" t="s">
        <v>64</v>
      </c>
      <c r="G88" s="42">
        <f>PMT(B88,K48,-I88)</f>
        <v>-165368.83670041765</v>
      </c>
      <c r="H88" s="5"/>
      <c r="I88" s="40">
        <f>NPV(B88,D63:K63)+C63</f>
        <v>-886904.25392241718</v>
      </c>
    </row>
    <row r="89" spans="1:11" x14ac:dyDescent="0.2">
      <c r="A89" s="1" t="s">
        <v>72</v>
      </c>
      <c r="B89" s="59">
        <v>0.14000000000000001</v>
      </c>
      <c r="C89" s="64">
        <f>NPV(B89,D84:K84)+C84</f>
        <v>-27242.067874516943</v>
      </c>
      <c r="F89" s="11" t="s">
        <v>1</v>
      </c>
      <c r="G89" s="42">
        <f>PMT(B88,I81,-I89)</f>
        <v>-179869.87200000006</v>
      </c>
      <c r="H89" s="5"/>
      <c r="I89" s="40">
        <f>NPV(B88,D77:I77)</f>
        <v>-786718.35261696333</v>
      </c>
      <c r="J89" s="83" t="s">
        <v>88</v>
      </c>
    </row>
    <row r="90" spans="1:11" x14ac:dyDescent="0.2">
      <c r="A90" s="1" t="s">
        <v>50</v>
      </c>
      <c r="C90" s="46">
        <f>IRR(C84:K84)</f>
        <v>0.13012980558388532</v>
      </c>
      <c r="D90" s="38" t="s">
        <v>56</v>
      </c>
      <c r="F90" s="81" t="s">
        <v>1</v>
      </c>
      <c r="G90" s="79">
        <f>PMT(B88,K66,-I90)</f>
        <v>-183639.34077540346</v>
      </c>
      <c r="H90" s="80"/>
      <c r="I90" s="82">
        <f>NPV(B88,D77:K77)</f>
        <v>-984892.41244570212</v>
      </c>
      <c r="J90" s="83" t="s">
        <v>89</v>
      </c>
    </row>
    <row r="92" spans="1:11" x14ac:dyDescent="0.2">
      <c r="A92" s="4" t="s">
        <v>51</v>
      </c>
    </row>
    <row r="93" spans="1:11" x14ac:dyDescent="0.2">
      <c r="I93" s="3"/>
      <c r="J93" s="3"/>
      <c r="K93" s="3"/>
    </row>
    <row r="94" spans="1:11" ht="17" thickBot="1" x14ac:dyDescent="0.25">
      <c r="B94" s="1" t="s">
        <v>0</v>
      </c>
      <c r="C94" s="3" t="s">
        <v>2</v>
      </c>
      <c r="D94" s="3"/>
      <c r="E94" s="3"/>
      <c r="F94" s="3"/>
      <c r="G94" s="3"/>
      <c r="H94" s="3"/>
      <c r="I94" s="12"/>
    </row>
    <row r="95" spans="1:11" ht="17" thickTop="1" x14ac:dyDescent="0.2">
      <c r="B95" s="103">
        <f>NPV(B88,D84:K84)+C84</f>
        <v>97988.15852328483</v>
      </c>
      <c r="C95" s="104">
        <v>0</v>
      </c>
      <c r="D95" s="105">
        <v>0.02</v>
      </c>
      <c r="E95" s="105">
        <v>0.03</v>
      </c>
      <c r="F95" s="105">
        <v>0.04</v>
      </c>
      <c r="G95" s="105">
        <v>0.06</v>
      </c>
      <c r="H95" s="106">
        <v>0.08</v>
      </c>
    </row>
    <row r="96" spans="1:11" x14ac:dyDescent="0.2">
      <c r="B96" s="108" t="s">
        <v>57</v>
      </c>
      <c r="C96" s="41">
        <f t="dataTable" ref="C96:H101" dt2D="1" dtr="1" r1="C14" r2="C15"/>
        <v>97988.15852328483</v>
      </c>
      <c r="D96" s="41">
        <v>142339.15983904852</v>
      </c>
      <c r="E96" s="41">
        <v>165775.27190327237</v>
      </c>
      <c r="F96" s="41">
        <v>190092.33388139273</v>
      </c>
      <c r="G96" s="41">
        <v>241496.61746363109</v>
      </c>
      <c r="H96" s="41">
        <v>296816.46949990792</v>
      </c>
      <c r="I96" s="1" t="s">
        <v>52</v>
      </c>
    </row>
    <row r="97" spans="1:9" x14ac:dyDescent="0.2">
      <c r="B97" s="108">
        <v>0.2</v>
      </c>
      <c r="C97" s="41">
        <v>-82709.454649696709</v>
      </c>
      <c r="D97" s="41">
        <v>-38358.453333933023</v>
      </c>
      <c r="E97" s="41">
        <v>-14922.341269709286</v>
      </c>
      <c r="F97" s="41">
        <v>9394.7207084110705</v>
      </c>
      <c r="G97" s="41">
        <v>60799.004290649318</v>
      </c>
      <c r="H97" s="41">
        <v>116118.85632692592</v>
      </c>
      <c r="I97" s="1"/>
    </row>
    <row r="98" spans="1:9" x14ac:dyDescent="0.2">
      <c r="A98" s="3" t="s">
        <v>53</v>
      </c>
      <c r="B98" s="109">
        <v>0.3</v>
      </c>
      <c r="C98" s="41">
        <v>-173058.26123618765</v>
      </c>
      <c r="D98" s="41">
        <v>-128707.25992042408</v>
      </c>
      <c r="E98" s="41">
        <v>-105271.14785620023</v>
      </c>
      <c r="F98" s="41">
        <v>-80954.08587807999</v>
      </c>
      <c r="G98" s="41">
        <v>-29549.802295841742</v>
      </c>
      <c r="H98" s="41">
        <v>25770.04974043509</v>
      </c>
    </row>
    <row r="99" spans="1:9" x14ac:dyDescent="0.2">
      <c r="A99" s="3" t="s">
        <v>54</v>
      </c>
      <c r="B99" s="109">
        <v>0.56000000000000005</v>
      </c>
      <c r="C99" s="41">
        <v>-407965.15836106404</v>
      </c>
      <c r="D99" s="41">
        <v>-363614.15704530029</v>
      </c>
      <c r="E99" s="41">
        <v>-340178.04498107656</v>
      </c>
      <c r="F99" s="41">
        <v>-315860.9830029562</v>
      </c>
      <c r="G99" s="41">
        <v>-264456.69942071801</v>
      </c>
      <c r="H99" s="41">
        <v>-209136.84738444129</v>
      </c>
      <c r="I99" s="1" t="s">
        <v>66</v>
      </c>
    </row>
    <row r="100" spans="1:9" x14ac:dyDescent="0.2">
      <c r="B100" s="109">
        <v>0.8</v>
      </c>
      <c r="C100" s="41">
        <v>-624802.29416864202</v>
      </c>
      <c r="D100" s="41">
        <v>-580451.29285287845</v>
      </c>
      <c r="E100" s="41">
        <v>-557015.1807886546</v>
      </c>
      <c r="F100" s="41">
        <v>-532698.11881053436</v>
      </c>
      <c r="G100" s="41">
        <v>-481293.83522829594</v>
      </c>
      <c r="H100" s="41">
        <v>-425973.98319201934</v>
      </c>
    </row>
    <row r="101" spans="1:9" ht="17" thickBot="1" x14ac:dyDescent="0.25">
      <c r="B101" s="110">
        <v>1</v>
      </c>
      <c r="C101" s="41">
        <v>-805499.90734162368</v>
      </c>
      <c r="D101" s="41">
        <v>-761148.90602586011</v>
      </c>
      <c r="E101" s="41">
        <v>-737712.79396163626</v>
      </c>
      <c r="F101" s="41">
        <v>-713395.73198351613</v>
      </c>
      <c r="G101" s="41">
        <v>-661991.44840127777</v>
      </c>
      <c r="H101" s="41">
        <v>-606671.59636500117</v>
      </c>
      <c r="I101" s="1" t="s">
        <v>55</v>
      </c>
    </row>
    <row r="102" spans="1:9" ht="17" thickTop="1" x14ac:dyDescent="0.2"/>
    <row r="104" spans="1:9" x14ac:dyDescent="0.2">
      <c r="B104" s="39" t="s">
        <v>56</v>
      </c>
      <c r="C104" s="2" t="s">
        <v>56</v>
      </c>
      <c r="D104" s="78"/>
    </row>
    <row r="106" spans="1:9" x14ac:dyDescent="0.2">
      <c r="C106" s="84"/>
    </row>
  </sheetData>
  <scenarios current="1" show="1">
    <scenario name="Inflation 3%" locked="1" count="1" user="Microsoft Office User" comment="Created by Microsoft Office User on 2/12/2025_x000a_Modified by Microsoft Office User on 2/12/2025">
      <inputCells r="C14" val="0.03" numFmtId="9"/>
    </scenario>
    <scenario name="Base" locked="1" count="1" user="Microsoft Office User" comment="Created by Microsoft Office User on 2/12/2025">
      <inputCells r="C14" val="0" numFmtId="9"/>
    </scenario>
    <scenario name="Paid 3 month lay off" locked="1" count="1" user="Microsoft Office User" comment="Created by Microsoft Office User on 2/13/2025_x000a_Modified by Microsoft Office User on 2/13/2025">
      <inputCells r="D53" val="-83777.5"/>
    </scenario>
    <scenario name="Paid 6 months lay off" locked="1" count="1" user="Microsoft Office User" comment="Created by Microsoft Office User on 2/13/2025">
      <inputCells r="D53" val="-167555" numFmtId="171"/>
    </scenario>
  </scenarios>
  <customSheetViews>
    <customSheetView guid="{ADDC2261-61F0-11D1-81E0-00A02422C258}" showRuler="0" topLeftCell="C89">
      <selection sqref="A1:L101"/>
      <pageMargins left="0.75" right="0.75" top="1" bottom="1" header="0.5" footer="0.5"/>
      <headerFooter alignWithMargins="0"/>
    </customSheetView>
  </customSheetViews>
  <mergeCells count="3">
    <mergeCell ref="A12:E12"/>
    <mergeCell ref="A13:C13"/>
    <mergeCell ref="A1:G1"/>
  </mergeCells>
  <phoneticPr fontId="0" type="noConversion"/>
  <conditionalFormatting sqref="C96:H101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5" right="0.75" top="1" bottom="1" header="0.5" footer="0.5"/>
  <pageSetup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B8D3-D86D-8643-907E-242BB54036D1}">
  <dimension ref="A1:N106"/>
  <sheetViews>
    <sheetView zoomScaleNormal="100" workbookViewId="0">
      <selection activeCell="K90" sqref="K90"/>
    </sheetView>
  </sheetViews>
  <sheetFormatPr baseColWidth="10" defaultColWidth="9.1640625" defaultRowHeight="16" x14ac:dyDescent="0.2"/>
  <cols>
    <col min="1" max="1" width="13.5" style="2" customWidth="1"/>
    <col min="2" max="2" width="12.5" style="2" customWidth="1"/>
    <col min="3" max="3" width="14" style="83" customWidth="1"/>
    <col min="4" max="4" width="13.33203125" style="2" customWidth="1"/>
    <col min="5" max="5" width="10.83203125" style="2" customWidth="1"/>
    <col min="6" max="6" width="11.5" style="83" customWidth="1"/>
    <col min="7" max="7" width="11.6640625" style="83" customWidth="1"/>
    <col min="8" max="8" width="14" style="2" customWidth="1"/>
    <col min="9" max="9" width="11.33203125" style="2" customWidth="1"/>
    <col min="10" max="10" width="11.83203125" style="2" customWidth="1"/>
    <col min="11" max="11" width="11.5" style="2" customWidth="1"/>
    <col min="12" max="16384" width="9.1640625" style="2"/>
  </cols>
  <sheetData>
    <row r="1" spans="1:8" ht="18" x14ac:dyDescent="0.2">
      <c r="A1" s="153" t="s">
        <v>84</v>
      </c>
      <c r="B1" s="153"/>
      <c r="C1" s="153"/>
      <c r="D1" s="153"/>
      <c r="E1" s="153"/>
      <c r="F1" s="153"/>
      <c r="G1" s="153"/>
    </row>
    <row r="3" spans="1:8" x14ac:dyDescent="0.2">
      <c r="A3" s="13" t="s">
        <v>75</v>
      </c>
      <c r="B3" s="3"/>
      <c r="C3" s="13"/>
      <c r="D3" s="3"/>
      <c r="E3" s="3"/>
      <c r="F3" s="13"/>
    </row>
    <row r="4" spans="1:8" ht="17" thickBot="1" x14ac:dyDescent="0.25">
      <c r="B4" s="3"/>
    </row>
    <row r="5" spans="1:8" ht="17" thickTop="1" x14ac:dyDescent="0.2">
      <c r="A5" s="52" t="s">
        <v>76</v>
      </c>
      <c r="B5" s="15"/>
      <c r="C5" s="111"/>
      <c r="D5" s="15"/>
      <c r="E5" s="16"/>
      <c r="F5" s="111"/>
      <c r="G5" s="128"/>
    </row>
    <row r="6" spans="1:8" x14ac:dyDescent="0.2">
      <c r="A6" s="18"/>
      <c r="B6" s="2" t="s">
        <v>77</v>
      </c>
      <c r="C6" s="83" t="s">
        <v>62</v>
      </c>
      <c r="D6" s="19"/>
      <c r="F6" s="13"/>
      <c r="G6" s="129"/>
    </row>
    <row r="7" spans="1:8" x14ac:dyDescent="0.2">
      <c r="A7" s="1" t="s">
        <v>72</v>
      </c>
      <c r="B7" s="58">
        <v>0.11865079999999999</v>
      </c>
      <c r="C7" s="126">
        <f>NPV(B87,D84:K84)+C84</f>
        <v>-51763.699796794564</v>
      </c>
      <c r="F7" s="13" t="s">
        <v>73</v>
      </c>
      <c r="G7" s="130" t="s">
        <v>0</v>
      </c>
    </row>
    <row r="8" spans="1:8" x14ac:dyDescent="0.2">
      <c r="A8" s="1" t="s">
        <v>72</v>
      </c>
      <c r="B8" s="76">
        <v>9.8550800000000008E-2</v>
      </c>
      <c r="C8" s="126">
        <f>NPV(B88,D84:K84)+C84</f>
        <v>11049.666466294904</v>
      </c>
      <c r="E8" s="1" t="s">
        <v>64</v>
      </c>
      <c r="F8" s="143">
        <f>PMT(B88,K48,-I88)</f>
        <v>-181579.06145959508</v>
      </c>
      <c r="G8" s="144">
        <f>NPV(B88,D63:K63)+C63</f>
        <v>-973842.7459794071</v>
      </c>
    </row>
    <row r="9" spans="1:8" x14ac:dyDescent="0.2">
      <c r="A9" s="1" t="s">
        <v>72</v>
      </c>
      <c r="B9" s="59">
        <v>0.14000000000000001</v>
      </c>
      <c r="C9" s="126">
        <f>NPV(B89,D84:K84)+C84</f>
        <v>-111019.56787451694</v>
      </c>
      <c r="E9" s="1" t="s">
        <v>1</v>
      </c>
      <c r="F9" s="143">
        <f>PMT(B88,I81,-I89)</f>
        <v>-179869.87200000006</v>
      </c>
      <c r="G9" s="144">
        <f>NPV(B88,D77:I77)</f>
        <v>-786718.35261696333</v>
      </c>
      <c r="H9" s="83" t="s">
        <v>88</v>
      </c>
    </row>
    <row r="10" spans="1:8" ht="17" thickBot="1" x14ac:dyDescent="0.25">
      <c r="A10" s="24" t="s">
        <v>50</v>
      </c>
      <c r="B10" s="24"/>
      <c r="C10" s="127">
        <f>IRR(C84:K84)</f>
        <v>0.10192019234025862</v>
      </c>
      <c r="D10" s="24"/>
      <c r="E10" s="24" t="s">
        <v>1</v>
      </c>
      <c r="F10" s="143">
        <f>PMT(B88,K66,-I90)</f>
        <v>-183639.34077540346</v>
      </c>
      <c r="G10" s="143">
        <f>NPV(B88,D77:K77)</f>
        <v>-984892.41244570212</v>
      </c>
      <c r="H10" s="83" t="s">
        <v>89</v>
      </c>
    </row>
    <row r="11" spans="1:8" ht="18" thickTop="1" thickBot="1" x14ac:dyDescent="0.25">
      <c r="B11" s="3"/>
      <c r="D11" s="3"/>
      <c r="E11" s="3"/>
      <c r="F11" s="13"/>
    </row>
    <row r="12" spans="1:8" ht="19" thickTop="1" x14ac:dyDescent="0.2">
      <c r="A12" s="149" t="s">
        <v>81</v>
      </c>
      <c r="B12" s="150"/>
      <c r="C12" s="150"/>
      <c r="D12" s="150"/>
      <c r="E12" s="151"/>
      <c r="F12" s="13"/>
    </row>
    <row r="13" spans="1:8" x14ac:dyDescent="0.2">
      <c r="A13" s="152" t="s">
        <v>82</v>
      </c>
      <c r="B13" s="152"/>
      <c r="C13" s="152"/>
      <c r="D13" s="3"/>
      <c r="E13" s="53"/>
      <c r="F13" s="13"/>
    </row>
    <row r="14" spans="1:8" x14ac:dyDescent="0.2">
      <c r="A14" s="2" t="s">
        <v>2</v>
      </c>
      <c r="B14" s="3"/>
      <c r="C14" s="112">
        <v>0</v>
      </c>
      <c r="D14" s="3"/>
      <c r="E14" s="53"/>
      <c r="F14" s="13"/>
    </row>
    <row r="15" spans="1:8" ht="17" thickBot="1" x14ac:dyDescent="0.25">
      <c r="A15" s="2" t="s">
        <v>83</v>
      </c>
      <c r="B15" s="3"/>
      <c r="C15" s="113">
        <v>0</v>
      </c>
      <c r="D15" s="55"/>
      <c r="E15" s="54"/>
      <c r="F15" s="13"/>
    </row>
    <row r="16" spans="1:8" ht="17" thickTop="1" x14ac:dyDescent="0.2">
      <c r="A16" s="14"/>
      <c r="B16" s="15"/>
      <c r="C16" s="111"/>
      <c r="D16" s="15"/>
      <c r="E16" s="20"/>
    </row>
    <row r="17" spans="1:10" x14ac:dyDescent="0.2">
      <c r="A17" s="26" t="s">
        <v>58</v>
      </c>
      <c r="B17" s="3"/>
      <c r="C17" s="13"/>
      <c r="D17" s="3"/>
      <c r="E17" s="27"/>
    </row>
    <row r="18" spans="1:10" x14ac:dyDescent="0.2">
      <c r="A18" s="18"/>
      <c r="B18" s="12" t="s">
        <v>63</v>
      </c>
      <c r="D18" s="22" t="s">
        <v>3</v>
      </c>
      <c r="E18" s="27"/>
    </row>
    <row r="19" spans="1:10" x14ac:dyDescent="0.2">
      <c r="A19" s="18"/>
      <c r="B19" s="31" t="s">
        <v>4</v>
      </c>
      <c r="D19" s="31" t="s">
        <v>4</v>
      </c>
      <c r="E19" s="32" t="s">
        <v>5</v>
      </c>
    </row>
    <row r="20" spans="1:10" x14ac:dyDescent="0.2">
      <c r="A20" s="21" t="s">
        <v>6</v>
      </c>
      <c r="B20" s="86">
        <v>1</v>
      </c>
      <c r="D20" s="87">
        <v>12</v>
      </c>
      <c r="E20" s="88">
        <v>3</v>
      </c>
    </row>
    <row r="21" spans="1:10" x14ac:dyDescent="0.2">
      <c r="A21" s="21" t="s">
        <v>7</v>
      </c>
      <c r="B21" s="86">
        <v>8</v>
      </c>
      <c r="D21" s="87">
        <f>B21</f>
        <v>8</v>
      </c>
      <c r="E21" s="88">
        <f>B21</f>
        <v>8</v>
      </c>
    </row>
    <row r="22" spans="1:10" x14ac:dyDescent="0.2">
      <c r="A22" s="21" t="s">
        <v>8</v>
      </c>
      <c r="B22" s="86">
        <v>2</v>
      </c>
      <c r="D22" s="87">
        <f>B22</f>
        <v>2</v>
      </c>
      <c r="E22" s="88">
        <v>1</v>
      </c>
    </row>
    <row r="23" spans="1:10" x14ac:dyDescent="0.2">
      <c r="A23" s="21" t="s">
        <v>9</v>
      </c>
      <c r="B23" s="89">
        <v>11.36</v>
      </c>
      <c r="D23" s="89">
        <v>7.33</v>
      </c>
      <c r="E23" s="90">
        <v>7.85</v>
      </c>
    </row>
    <row r="24" spans="1:10" x14ac:dyDescent="0.2">
      <c r="A24" s="21" t="s">
        <v>10</v>
      </c>
      <c r="B24" s="91">
        <v>210</v>
      </c>
      <c r="D24" s="92">
        <f>B24</f>
        <v>210</v>
      </c>
      <c r="E24" s="93">
        <f>B24</f>
        <v>210</v>
      </c>
    </row>
    <row r="25" spans="1:10" ht="17" thickBot="1" x14ac:dyDescent="0.25">
      <c r="A25" s="18"/>
      <c r="B25" s="48">
        <f>B20*B21*B22*B23*B24</f>
        <v>38169.599999999999</v>
      </c>
      <c r="C25" s="56"/>
      <c r="D25" s="48">
        <f t="shared" ref="D25:E25" si="0">D20*D21*D22*D23*D24</f>
        <v>295545.60000000003</v>
      </c>
      <c r="E25" s="48">
        <f t="shared" si="0"/>
        <v>39563.999999999993</v>
      </c>
      <c r="F25" s="131"/>
      <c r="G25" s="132"/>
      <c r="H25" s="37"/>
      <c r="J25" s="37" t="s">
        <v>56</v>
      </c>
    </row>
    <row r="26" spans="1:10" ht="17" thickTop="1" x14ac:dyDescent="0.2">
      <c r="A26" s="18"/>
      <c r="E26" s="20"/>
    </row>
    <row r="27" spans="1:10" x14ac:dyDescent="0.2">
      <c r="A27" s="28"/>
      <c r="B27" s="29"/>
      <c r="C27" s="114"/>
      <c r="D27" s="29"/>
      <c r="E27" s="30"/>
    </row>
    <row r="28" spans="1:10" x14ac:dyDescent="0.2">
      <c r="A28" s="26" t="s">
        <v>11</v>
      </c>
      <c r="B28" s="3"/>
      <c r="C28" s="13"/>
      <c r="D28" s="3"/>
      <c r="E28" s="27"/>
    </row>
    <row r="29" spans="1:10" x14ac:dyDescent="0.2">
      <c r="A29" s="18" t="s">
        <v>80</v>
      </c>
      <c r="B29" s="38">
        <v>0</v>
      </c>
      <c r="E29" s="20"/>
    </row>
    <row r="30" spans="1:10" x14ac:dyDescent="0.2">
      <c r="A30" s="18" t="s">
        <v>67</v>
      </c>
      <c r="B30" s="38">
        <f>0.053+B29</f>
        <v>5.2999999999999999E-2</v>
      </c>
      <c r="E30" s="20"/>
    </row>
    <row r="31" spans="1:10" x14ac:dyDescent="0.2">
      <c r="A31" s="21" t="s">
        <v>68</v>
      </c>
      <c r="B31" s="38">
        <v>0.06</v>
      </c>
      <c r="C31" s="13"/>
      <c r="D31" s="1" t="s">
        <v>87</v>
      </c>
      <c r="E31" s="57">
        <v>1.25</v>
      </c>
    </row>
    <row r="32" spans="1:10" x14ac:dyDescent="0.2">
      <c r="A32" s="21" t="s">
        <v>12</v>
      </c>
      <c r="B32" s="94">
        <v>0.43</v>
      </c>
      <c r="D32" s="1" t="s">
        <v>13</v>
      </c>
      <c r="E32" s="47">
        <f>B30+(E31*B31)</f>
        <v>0.128</v>
      </c>
    </row>
    <row r="33" spans="1:11" x14ac:dyDescent="0.2">
      <c r="A33" s="21" t="s">
        <v>14</v>
      </c>
      <c r="B33" s="94">
        <v>6.8000000000000005E-2</v>
      </c>
      <c r="D33" s="1" t="s">
        <v>78</v>
      </c>
      <c r="E33" s="47">
        <v>0.33</v>
      </c>
    </row>
    <row r="34" spans="1:11" x14ac:dyDescent="0.2">
      <c r="A34" s="21" t="s">
        <v>15</v>
      </c>
      <c r="B34" s="46">
        <f>B33*(1-TAX)</f>
        <v>3.876000000000001E-2</v>
      </c>
      <c r="D34" s="1" t="s">
        <v>79</v>
      </c>
      <c r="E34" s="47">
        <v>0.67</v>
      </c>
    </row>
    <row r="35" spans="1:11" ht="17" thickBot="1" x14ac:dyDescent="0.25">
      <c r="A35" s="23" t="s">
        <v>11</v>
      </c>
      <c r="B35" s="75">
        <f>(E33*B34)+(E34*E32)</f>
        <v>9.8550800000000008E-2</v>
      </c>
      <c r="C35" s="115"/>
      <c r="D35" s="24"/>
      <c r="E35" s="25"/>
    </row>
    <row r="36" spans="1:11" ht="17" thickTop="1" x14ac:dyDescent="0.2">
      <c r="H36" s="2" t="s">
        <v>56</v>
      </c>
    </row>
    <row r="37" spans="1:11" x14ac:dyDescent="0.2">
      <c r="A37" s="4" t="s">
        <v>59</v>
      </c>
    </row>
    <row r="39" spans="1:11" x14ac:dyDescent="0.2">
      <c r="A39" s="33" t="s">
        <v>16</v>
      </c>
      <c r="B39" s="3"/>
      <c r="C39" s="13"/>
      <c r="D39" s="3"/>
      <c r="F39" s="33" t="s">
        <v>60</v>
      </c>
      <c r="G39" s="13"/>
      <c r="H39" s="3"/>
    </row>
    <row r="40" spans="1:11" x14ac:dyDescent="0.2">
      <c r="A40" s="1" t="s">
        <v>17</v>
      </c>
      <c r="D40" s="86">
        <v>415807</v>
      </c>
      <c r="F40" s="4" t="s">
        <v>18</v>
      </c>
      <c r="H40" s="86">
        <v>850000</v>
      </c>
    </row>
    <row r="41" spans="1:11" x14ac:dyDescent="0.2">
      <c r="A41" s="1" t="s">
        <v>19</v>
      </c>
      <c r="D41" s="86">
        <v>130682</v>
      </c>
      <c r="F41" s="4" t="s">
        <v>20</v>
      </c>
      <c r="H41" s="86">
        <v>5000</v>
      </c>
    </row>
    <row r="42" spans="1:11" x14ac:dyDescent="0.2">
      <c r="A42" s="1" t="s">
        <v>21</v>
      </c>
      <c r="D42" s="49">
        <f>D40-D41</f>
        <v>285125</v>
      </c>
      <c r="F42" s="4" t="s">
        <v>22</v>
      </c>
      <c r="H42" s="86">
        <v>155000</v>
      </c>
    </row>
    <row r="43" spans="1:11" ht="17" thickBot="1" x14ac:dyDescent="0.25">
      <c r="A43" s="1" t="s">
        <v>23</v>
      </c>
      <c r="D43" s="96">
        <v>130000</v>
      </c>
      <c r="F43" s="83" t="s">
        <v>71</v>
      </c>
      <c r="H43" s="95">
        <f>SUM(H40:H42)</f>
        <v>1010000</v>
      </c>
    </row>
    <row r="44" spans="1:11" ht="17" thickTop="1" x14ac:dyDescent="0.2">
      <c r="A44" s="1" t="s">
        <v>69</v>
      </c>
      <c r="D44" s="43">
        <f>D43-D42</f>
        <v>-155125</v>
      </c>
      <c r="F44" s="4" t="s">
        <v>24</v>
      </c>
      <c r="H44" s="43">
        <f>D43</f>
        <v>130000</v>
      </c>
    </row>
    <row r="45" spans="1:11" x14ac:dyDescent="0.2">
      <c r="A45" s="1" t="s">
        <v>34</v>
      </c>
      <c r="D45" s="44">
        <f>D44*B32</f>
        <v>-66703.75</v>
      </c>
      <c r="F45" s="4" t="s">
        <v>25</v>
      </c>
      <c r="H45" s="44">
        <f>-D44*B32</f>
        <v>66703.75</v>
      </c>
    </row>
    <row r="46" spans="1:11" ht="17" thickBot="1" x14ac:dyDescent="0.25">
      <c r="A46" s="1" t="s">
        <v>70</v>
      </c>
      <c r="D46" s="45">
        <f>D44-D45</f>
        <v>-88421.25</v>
      </c>
      <c r="F46" s="4" t="s">
        <v>26</v>
      </c>
      <c r="H46" s="45">
        <f>H43-(H45+H44)</f>
        <v>813296.25</v>
      </c>
    </row>
    <row r="47" spans="1:11" ht="17" thickTop="1" x14ac:dyDescent="0.2"/>
    <row r="48" spans="1:11" s="36" customFormat="1" x14ac:dyDescent="0.2">
      <c r="A48" s="35" t="s">
        <v>27</v>
      </c>
      <c r="C48" s="116">
        <v>0</v>
      </c>
      <c r="D48" s="36">
        <v>1</v>
      </c>
      <c r="E48" s="36">
        <v>2</v>
      </c>
      <c r="F48" s="116">
        <v>3</v>
      </c>
      <c r="G48" s="116">
        <v>4</v>
      </c>
      <c r="H48" s="36">
        <v>5</v>
      </c>
      <c r="I48" s="36">
        <v>6</v>
      </c>
      <c r="J48" s="36">
        <v>7</v>
      </c>
      <c r="K48" s="36">
        <v>8</v>
      </c>
    </row>
    <row r="50" spans="1:11" x14ac:dyDescent="0.2">
      <c r="A50" s="4" t="s">
        <v>61</v>
      </c>
    </row>
    <row r="52" spans="1:11" x14ac:dyDescent="0.2">
      <c r="A52" s="1" t="s">
        <v>28</v>
      </c>
      <c r="C52" s="117"/>
      <c r="D52" s="67">
        <f t="shared" ref="D52:K52" si="1">(-$B$25*(1+TestInflation)^C48)</f>
        <v>-38169.599999999999</v>
      </c>
      <c r="E52" s="67">
        <f t="shared" si="1"/>
        <v>-38169.599999999999</v>
      </c>
      <c r="F52" s="133">
        <f t="shared" si="1"/>
        <v>-38169.599999999999</v>
      </c>
      <c r="G52" s="133">
        <f t="shared" si="1"/>
        <v>-38169.599999999999</v>
      </c>
      <c r="H52" s="67">
        <f t="shared" si="1"/>
        <v>-38169.599999999999</v>
      </c>
      <c r="I52" s="67">
        <f t="shared" si="1"/>
        <v>-38169.599999999999</v>
      </c>
      <c r="J52" s="67">
        <f t="shared" si="1"/>
        <v>-38169.599999999999</v>
      </c>
      <c r="K52" s="67">
        <f t="shared" si="1"/>
        <v>-38169.599999999999</v>
      </c>
    </row>
    <row r="53" spans="1:11" x14ac:dyDescent="0.2">
      <c r="A53" s="1" t="s">
        <v>29</v>
      </c>
      <c r="C53" s="117"/>
      <c r="D53" s="67">
        <v>-167555</v>
      </c>
      <c r="E53" s="67">
        <f>-$D$25*($C$15)</f>
        <v>0</v>
      </c>
      <c r="F53" s="133">
        <f t="shared" ref="F53:K53" si="2">-$D$25*($C$15)</f>
        <v>0</v>
      </c>
      <c r="G53" s="133">
        <f t="shared" si="2"/>
        <v>0</v>
      </c>
      <c r="H53" s="67">
        <f t="shared" si="2"/>
        <v>0</v>
      </c>
      <c r="I53" s="67">
        <f t="shared" si="2"/>
        <v>0</v>
      </c>
      <c r="J53" s="67">
        <f t="shared" si="2"/>
        <v>0</v>
      </c>
      <c r="K53" s="67">
        <f t="shared" si="2"/>
        <v>0</v>
      </c>
    </row>
    <row r="54" spans="1:11" x14ac:dyDescent="0.2">
      <c r="A54" s="1" t="s">
        <v>30</v>
      </c>
      <c r="C54" s="117"/>
      <c r="D54" s="67">
        <f t="shared" ref="D54:K54" si="3">-59500*(1+TestInflation)^C48</f>
        <v>-59500</v>
      </c>
      <c r="E54" s="67">
        <f t="shared" si="3"/>
        <v>-59500</v>
      </c>
      <c r="F54" s="133">
        <f t="shared" si="3"/>
        <v>-59500</v>
      </c>
      <c r="G54" s="133">
        <f t="shared" si="3"/>
        <v>-59500</v>
      </c>
      <c r="H54" s="67">
        <f t="shared" si="3"/>
        <v>-59500</v>
      </c>
      <c r="I54" s="67">
        <f t="shared" si="3"/>
        <v>-59500</v>
      </c>
      <c r="J54" s="67">
        <f t="shared" si="3"/>
        <v>-59500</v>
      </c>
      <c r="K54" s="67">
        <f t="shared" si="3"/>
        <v>-59500</v>
      </c>
    </row>
    <row r="55" spans="1:11" x14ac:dyDescent="0.2">
      <c r="A55" s="1" t="s">
        <v>85</v>
      </c>
      <c r="C55" s="117"/>
      <c r="D55" s="67">
        <f t="shared" ref="D55:K55" si="4">-26850*(1+TestInflation)^C48</f>
        <v>-26850</v>
      </c>
      <c r="E55" s="67">
        <f t="shared" si="4"/>
        <v>-26850</v>
      </c>
      <c r="F55" s="133">
        <f t="shared" si="4"/>
        <v>-26850</v>
      </c>
      <c r="G55" s="133">
        <f t="shared" si="4"/>
        <v>-26850</v>
      </c>
      <c r="H55" s="67">
        <f t="shared" si="4"/>
        <v>-26850</v>
      </c>
      <c r="I55" s="67">
        <f t="shared" si="4"/>
        <v>-26850</v>
      </c>
      <c r="J55" s="67">
        <f t="shared" si="4"/>
        <v>-26850</v>
      </c>
      <c r="K55" s="67">
        <f t="shared" si="4"/>
        <v>-26850</v>
      </c>
    </row>
    <row r="56" spans="1:11" x14ac:dyDescent="0.2">
      <c r="A56" s="1" t="s">
        <v>31</v>
      </c>
      <c r="C56" s="117"/>
      <c r="D56" s="67">
        <f t="shared" ref="D56:K56" si="5">(5200*(1+TestInflation)^C48)</f>
        <v>5200</v>
      </c>
      <c r="E56" s="67">
        <f t="shared" si="5"/>
        <v>5200</v>
      </c>
      <c r="F56" s="133">
        <f t="shared" si="5"/>
        <v>5200</v>
      </c>
      <c r="G56" s="133">
        <f t="shared" si="5"/>
        <v>5200</v>
      </c>
      <c r="H56" s="67">
        <f t="shared" si="5"/>
        <v>5200</v>
      </c>
      <c r="I56" s="67">
        <f t="shared" si="5"/>
        <v>5200</v>
      </c>
      <c r="J56" s="67">
        <f t="shared" si="5"/>
        <v>5200</v>
      </c>
      <c r="K56" s="67">
        <f t="shared" si="5"/>
        <v>5200</v>
      </c>
    </row>
    <row r="57" spans="1:11" x14ac:dyDescent="0.2">
      <c r="A57" s="1" t="s">
        <v>32</v>
      </c>
      <c r="C57" s="117"/>
      <c r="D57" s="68">
        <f>-$H$43/8</f>
        <v>-126250</v>
      </c>
      <c r="E57" s="68">
        <f t="shared" ref="E57:K57" si="6">-$H$43/8</f>
        <v>-126250</v>
      </c>
      <c r="F57" s="134">
        <f t="shared" si="6"/>
        <v>-126250</v>
      </c>
      <c r="G57" s="134">
        <f t="shared" si="6"/>
        <v>-126250</v>
      </c>
      <c r="H57" s="68">
        <f t="shared" si="6"/>
        <v>-126250</v>
      </c>
      <c r="I57" s="68">
        <f t="shared" si="6"/>
        <v>-126250</v>
      </c>
      <c r="J57" s="68">
        <f t="shared" si="6"/>
        <v>-126250</v>
      </c>
      <c r="K57" s="68">
        <f t="shared" si="6"/>
        <v>-126250</v>
      </c>
    </row>
    <row r="58" spans="1:11" x14ac:dyDescent="0.2">
      <c r="A58" s="1" t="s">
        <v>33</v>
      </c>
      <c r="C58" s="117"/>
      <c r="D58" s="67">
        <f>SUM(D52:D57)</f>
        <v>-413124.6</v>
      </c>
      <c r="E58" s="67">
        <f>SUM(E52:E57)</f>
        <v>-245569.6</v>
      </c>
      <c r="F58" s="133">
        <f t="shared" ref="F58:K58" si="7">SUM(F52:F57)</f>
        <v>-245569.6</v>
      </c>
      <c r="G58" s="133">
        <f t="shared" si="7"/>
        <v>-245569.6</v>
      </c>
      <c r="H58" s="67">
        <f t="shared" si="7"/>
        <v>-245569.6</v>
      </c>
      <c r="I58" s="67">
        <f t="shared" si="7"/>
        <v>-245569.6</v>
      </c>
      <c r="J58" s="67">
        <f t="shared" si="7"/>
        <v>-245569.6</v>
      </c>
      <c r="K58" s="67">
        <f t="shared" si="7"/>
        <v>-245569.6</v>
      </c>
    </row>
    <row r="59" spans="1:11" x14ac:dyDescent="0.2">
      <c r="A59" s="1" t="s">
        <v>34</v>
      </c>
      <c r="C59" s="117"/>
      <c r="D59" s="68">
        <f t="shared" ref="D59:K59" si="8">D58*TAX</f>
        <v>-177643.57799999998</v>
      </c>
      <c r="E59" s="68">
        <f t="shared" si="8"/>
        <v>-105594.928</v>
      </c>
      <c r="F59" s="134">
        <f t="shared" si="8"/>
        <v>-105594.928</v>
      </c>
      <c r="G59" s="134">
        <f t="shared" si="8"/>
        <v>-105594.928</v>
      </c>
      <c r="H59" s="68">
        <f t="shared" si="8"/>
        <v>-105594.928</v>
      </c>
      <c r="I59" s="68">
        <f t="shared" si="8"/>
        <v>-105594.928</v>
      </c>
      <c r="J59" s="68">
        <f t="shared" si="8"/>
        <v>-105594.928</v>
      </c>
      <c r="K59" s="68">
        <f t="shared" si="8"/>
        <v>-105594.928</v>
      </c>
    </row>
    <row r="60" spans="1:11" x14ac:dyDescent="0.2">
      <c r="A60" s="1" t="s">
        <v>35</v>
      </c>
      <c r="C60" s="117"/>
      <c r="D60" s="67">
        <f>D58-D59</f>
        <v>-235481.022</v>
      </c>
      <c r="E60" s="67">
        <f t="shared" ref="E60:K60" si="9">E58-E59</f>
        <v>-139974.67200000002</v>
      </c>
      <c r="F60" s="133">
        <f t="shared" si="9"/>
        <v>-139974.67200000002</v>
      </c>
      <c r="G60" s="133">
        <f t="shared" si="9"/>
        <v>-139974.67200000002</v>
      </c>
      <c r="H60" s="67">
        <f t="shared" si="9"/>
        <v>-139974.67200000002</v>
      </c>
      <c r="I60" s="67">
        <f t="shared" si="9"/>
        <v>-139974.67200000002</v>
      </c>
      <c r="J60" s="67">
        <f t="shared" si="9"/>
        <v>-139974.67200000002</v>
      </c>
      <c r="K60" s="67">
        <f t="shared" si="9"/>
        <v>-139974.67200000002</v>
      </c>
    </row>
    <row r="61" spans="1:11" x14ac:dyDescent="0.2">
      <c r="A61" s="1" t="s">
        <v>36</v>
      </c>
      <c r="C61" s="117"/>
      <c r="D61" s="67">
        <f>-D57</f>
        <v>126250</v>
      </c>
      <c r="E61" s="67">
        <f t="shared" ref="E61:K61" si="10">-E57</f>
        <v>126250</v>
      </c>
      <c r="F61" s="133">
        <f t="shared" si="10"/>
        <v>126250</v>
      </c>
      <c r="G61" s="133">
        <f t="shared" si="10"/>
        <v>126250</v>
      </c>
      <c r="H61" s="67">
        <f t="shared" si="10"/>
        <v>126250</v>
      </c>
      <c r="I61" s="67">
        <f t="shared" si="10"/>
        <v>126250</v>
      </c>
      <c r="J61" s="67">
        <f t="shared" si="10"/>
        <v>126250</v>
      </c>
      <c r="K61" s="67">
        <f t="shared" si="10"/>
        <v>126250</v>
      </c>
    </row>
    <row r="62" spans="1:11" x14ac:dyDescent="0.2">
      <c r="A62" s="1" t="s">
        <v>37</v>
      </c>
      <c r="C62" s="118">
        <f>-H46</f>
        <v>-813296.25</v>
      </c>
      <c r="D62" s="69">
        <v>0</v>
      </c>
      <c r="E62" s="69">
        <v>0</v>
      </c>
      <c r="F62" s="118">
        <v>0</v>
      </c>
      <c r="G62" s="118">
        <v>0</v>
      </c>
      <c r="H62" s="69">
        <v>0</v>
      </c>
      <c r="I62" s="69">
        <v>0</v>
      </c>
      <c r="J62" s="69">
        <v>0</v>
      </c>
      <c r="K62" s="69">
        <v>0</v>
      </c>
    </row>
    <row r="63" spans="1:11" s="83" customFormat="1" ht="17" thickBot="1" x14ac:dyDescent="0.25">
      <c r="A63" s="4" t="s">
        <v>38</v>
      </c>
      <c r="C63" s="97">
        <f>SUM(C60:C62)</f>
        <v>-813296.25</v>
      </c>
      <c r="D63" s="97">
        <f t="shared" ref="D63:K63" si="11">SUM(D60:D62)</f>
        <v>-109231.022</v>
      </c>
      <c r="E63" s="97">
        <f t="shared" si="11"/>
        <v>-13724.67200000002</v>
      </c>
      <c r="F63" s="97">
        <f t="shared" si="11"/>
        <v>-13724.67200000002</v>
      </c>
      <c r="G63" s="97">
        <f t="shared" si="11"/>
        <v>-13724.67200000002</v>
      </c>
      <c r="H63" s="97">
        <f t="shared" si="11"/>
        <v>-13724.67200000002</v>
      </c>
      <c r="I63" s="97">
        <f t="shared" si="11"/>
        <v>-13724.67200000002</v>
      </c>
      <c r="J63" s="97">
        <f t="shared" si="11"/>
        <v>-13724.67200000002</v>
      </c>
      <c r="K63" s="97">
        <f t="shared" si="11"/>
        <v>-13724.67200000002</v>
      </c>
    </row>
    <row r="64" spans="1:11" ht="17" thickTop="1" x14ac:dyDescent="0.2"/>
    <row r="65" spans="1:14" x14ac:dyDescent="0.2">
      <c r="A65" s="4" t="s">
        <v>39</v>
      </c>
      <c r="C65" s="100"/>
      <c r="D65" s="5"/>
      <c r="E65" s="5"/>
      <c r="F65" s="100"/>
      <c r="G65" s="100"/>
      <c r="H65" s="5"/>
      <c r="I65" s="5"/>
      <c r="J65" s="5"/>
      <c r="K65" s="5"/>
    </row>
    <row r="66" spans="1:14" x14ac:dyDescent="0.2">
      <c r="C66" s="116">
        <v>0</v>
      </c>
      <c r="D66" s="36">
        <v>1</v>
      </c>
      <c r="E66" s="36">
        <v>2</v>
      </c>
      <c r="F66" s="116">
        <v>3</v>
      </c>
      <c r="G66" s="116">
        <v>4</v>
      </c>
      <c r="H66" s="36">
        <v>5</v>
      </c>
      <c r="I66" s="36">
        <v>6</v>
      </c>
      <c r="J66" s="36">
        <v>7</v>
      </c>
      <c r="K66" s="36">
        <v>8</v>
      </c>
    </row>
    <row r="67" spans="1:14" x14ac:dyDescent="0.2">
      <c r="A67" s="1" t="s">
        <v>40</v>
      </c>
      <c r="C67" s="100"/>
      <c r="D67" s="61">
        <f t="shared" ref="D67:K67" si="12">(-$D$25*(1+TestInflation)^C66)</f>
        <v>-295545.60000000003</v>
      </c>
      <c r="E67" s="61">
        <f t="shared" si="12"/>
        <v>-295545.60000000003</v>
      </c>
      <c r="F67" s="119">
        <f t="shared" si="12"/>
        <v>-295545.60000000003</v>
      </c>
      <c r="G67" s="119">
        <f t="shared" si="12"/>
        <v>-295545.60000000003</v>
      </c>
      <c r="H67" s="61">
        <f t="shared" si="12"/>
        <v>-295545.60000000003</v>
      </c>
      <c r="I67" s="61">
        <f t="shared" si="12"/>
        <v>-295545.60000000003</v>
      </c>
      <c r="J67" s="61">
        <f t="shared" si="12"/>
        <v>-295545.60000000003</v>
      </c>
      <c r="K67" s="61">
        <f t="shared" si="12"/>
        <v>-295545.60000000003</v>
      </c>
      <c r="L67" s="71"/>
      <c r="M67" s="72"/>
      <c r="N67" s="71"/>
    </row>
    <row r="68" spans="1:14" x14ac:dyDescent="0.2">
      <c r="A68" s="1" t="s">
        <v>41</v>
      </c>
      <c r="C68" s="100"/>
      <c r="D68" s="61">
        <f t="shared" ref="D68:K68" si="13">(-$E$25*(1+TestInflation)^C66)</f>
        <v>-39563.999999999993</v>
      </c>
      <c r="E68" s="61">
        <f t="shared" si="13"/>
        <v>-39563.999999999993</v>
      </c>
      <c r="F68" s="119">
        <f t="shared" si="13"/>
        <v>-39563.999999999993</v>
      </c>
      <c r="G68" s="119">
        <f t="shared" si="13"/>
        <v>-39563.999999999993</v>
      </c>
      <c r="H68" s="61">
        <f t="shared" si="13"/>
        <v>-39563.999999999993</v>
      </c>
      <c r="I68" s="61">
        <f t="shared" si="13"/>
        <v>-39563.999999999993</v>
      </c>
      <c r="J68" s="61">
        <f t="shared" si="13"/>
        <v>-39563.999999999993</v>
      </c>
      <c r="K68" s="61">
        <f t="shared" si="13"/>
        <v>-39563.999999999993</v>
      </c>
      <c r="L68" s="71"/>
      <c r="M68" s="71"/>
      <c r="N68" s="71"/>
    </row>
    <row r="69" spans="1:14" x14ac:dyDescent="0.2">
      <c r="A69" s="1" t="s">
        <v>42</v>
      </c>
      <c r="C69" s="100"/>
      <c r="D69" s="61">
        <f t="shared" ref="D69:K69" si="14">-4000*(1+TestInflation)^C66</f>
        <v>-4000</v>
      </c>
      <c r="E69" s="61">
        <f t="shared" si="14"/>
        <v>-4000</v>
      </c>
      <c r="F69" s="119">
        <f t="shared" si="14"/>
        <v>-4000</v>
      </c>
      <c r="G69" s="119">
        <f t="shared" si="14"/>
        <v>-4000</v>
      </c>
      <c r="H69" s="61">
        <f t="shared" si="14"/>
        <v>-4000</v>
      </c>
      <c r="I69" s="61">
        <f t="shared" si="14"/>
        <v>-4000</v>
      </c>
      <c r="J69" s="61">
        <f t="shared" si="14"/>
        <v>-4000</v>
      </c>
      <c r="K69" s="61">
        <f t="shared" si="14"/>
        <v>-4000</v>
      </c>
      <c r="L69" s="71"/>
      <c r="M69" s="71"/>
      <c r="N69" s="71"/>
    </row>
    <row r="70" spans="1:14" x14ac:dyDescent="0.2">
      <c r="A70" s="1" t="s">
        <v>86</v>
      </c>
      <c r="C70" s="100"/>
      <c r="D70" s="61">
        <f t="shared" ref="D70:K70" si="15">-12300*(1+TestInflation)^C66</f>
        <v>-12300</v>
      </c>
      <c r="E70" s="61">
        <f t="shared" si="15"/>
        <v>-12300</v>
      </c>
      <c r="F70" s="119">
        <f t="shared" si="15"/>
        <v>-12300</v>
      </c>
      <c r="G70" s="119">
        <f t="shared" si="15"/>
        <v>-12300</v>
      </c>
      <c r="H70" s="61">
        <f t="shared" si="15"/>
        <v>-12300</v>
      </c>
      <c r="I70" s="61">
        <f t="shared" si="15"/>
        <v>-12300</v>
      </c>
      <c r="J70" s="61">
        <f t="shared" si="15"/>
        <v>-12300</v>
      </c>
      <c r="K70" s="61">
        <f t="shared" si="15"/>
        <v>-12300</v>
      </c>
      <c r="L70" s="71"/>
      <c r="M70" s="73"/>
      <c r="N70" s="74"/>
    </row>
    <row r="71" spans="1:14" x14ac:dyDescent="0.2">
      <c r="A71" s="1" t="s">
        <v>32</v>
      </c>
      <c r="C71" s="100"/>
      <c r="D71" s="62">
        <f>-47520</f>
        <v>-47520</v>
      </c>
      <c r="E71" s="62">
        <f t="shared" ref="E71:I71" si="16">-47520</f>
        <v>-47520</v>
      </c>
      <c r="F71" s="135">
        <f t="shared" si="16"/>
        <v>-47520</v>
      </c>
      <c r="G71" s="135">
        <f t="shared" si="16"/>
        <v>-47520</v>
      </c>
      <c r="H71" s="62">
        <f t="shared" si="16"/>
        <v>-47520</v>
      </c>
      <c r="I71" s="62">
        <f t="shared" si="16"/>
        <v>-47520</v>
      </c>
      <c r="J71" s="62">
        <v>0</v>
      </c>
      <c r="K71" s="62">
        <v>0</v>
      </c>
      <c r="L71" s="71"/>
      <c r="M71" s="73"/>
      <c r="N71" s="74"/>
    </row>
    <row r="72" spans="1:14" x14ac:dyDescent="0.2">
      <c r="A72" s="1" t="s">
        <v>33</v>
      </c>
      <c r="C72" s="100"/>
      <c r="D72" s="61">
        <f>SUM(D67:D71)</f>
        <v>-398929.60000000003</v>
      </c>
      <c r="E72" s="61">
        <f t="shared" ref="E72:K72" si="17">SUM(E67:E71)</f>
        <v>-398929.60000000003</v>
      </c>
      <c r="F72" s="119">
        <f t="shared" si="17"/>
        <v>-398929.60000000003</v>
      </c>
      <c r="G72" s="119">
        <f t="shared" si="17"/>
        <v>-398929.60000000003</v>
      </c>
      <c r="H72" s="61">
        <f t="shared" si="17"/>
        <v>-398929.60000000003</v>
      </c>
      <c r="I72" s="61">
        <f t="shared" si="17"/>
        <v>-398929.60000000003</v>
      </c>
      <c r="J72" s="61">
        <f t="shared" si="17"/>
        <v>-351409.60000000003</v>
      </c>
      <c r="K72" s="61">
        <f t="shared" si="17"/>
        <v>-351409.60000000003</v>
      </c>
      <c r="L72" s="71"/>
      <c r="M72" s="73"/>
      <c r="N72" s="74"/>
    </row>
    <row r="73" spans="1:14" x14ac:dyDescent="0.2">
      <c r="A73" s="1" t="s">
        <v>34</v>
      </c>
      <c r="C73" s="100"/>
      <c r="D73" s="63">
        <f t="shared" ref="D73:K73" si="18">D72*TAX</f>
        <v>-171539.728</v>
      </c>
      <c r="E73" s="63">
        <f t="shared" si="18"/>
        <v>-171539.728</v>
      </c>
      <c r="F73" s="136">
        <f t="shared" si="18"/>
        <v>-171539.728</v>
      </c>
      <c r="G73" s="136">
        <f t="shared" si="18"/>
        <v>-171539.728</v>
      </c>
      <c r="H73" s="63">
        <f t="shared" si="18"/>
        <v>-171539.728</v>
      </c>
      <c r="I73" s="63">
        <f t="shared" si="18"/>
        <v>-171539.728</v>
      </c>
      <c r="J73" s="63">
        <f t="shared" si="18"/>
        <v>-151106.12800000003</v>
      </c>
      <c r="K73" s="63">
        <f t="shared" si="18"/>
        <v>-151106.12800000003</v>
      </c>
      <c r="L73" s="71"/>
      <c r="M73" s="73"/>
      <c r="N73" s="74"/>
    </row>
    <row r="74" spans="1:14" x14ac:dyDescent="0.2">
      <c r="A74" s="1" t="s">
        <v>43</v>
      </c>
      <c r="C74" s="100"/>
      <c r="D74" s="64">
        <f>D72-D73</f>
        <v>-227389.87200000003</v>
      </c>
      <c r="E74" s="64">
        <f t="shared" ref="E74:K74" si="19">E72-E73</f>
        <v>-227389.87200000003</v>
      </c>
      <c r="F74" s="122">
        <f t="shared" si="19"/>
        <v>-227389.87200000003</v>
      </c>
      <c r="G74" s="122">
        <f t="shared" si="19"/>
        <v>-227389.87200000003</v>
      </c>
      <c r="H74" s="64">
        <f t="shared" si="19"/>
        <v>-227389.87200000003</v>
      </c>
      <c r="I74" s="64">
        <f t="shared" si="19"/>
        <v>-227389.87200000003</v>
      </c>
      <c r="J74" s="64">
        <f t="shared" si="19"/>
        <v>-200303.47200000001</v>
      </c>
      <c r="K74" s="64">
        <f t="shared" si="19"/>
        <v>-200303.47200000001</v>
      </c>
      <c r="L74" s="71"/>
      <c r="M74" s="73"/>
      <c r="N74" s="74"/>
    </row>
    <row r="75" spans="1:14" x14ac:dyDescent="0.2">
      <c r="A75" s="1" t="s">
        <v>44</v>
      </c>
      <c r="C75" s="100"/>
      <c r="D75" s="64">
        <f>-D71</f>
        <v>47520</v>
      </c>
      <c r="E75" s="64">
        <f t="shared" ref="E75:K75" si="20">-E71</f>
        <v>47520</v>
      </c>
      <c r="F75" s="122">
        <f t="shared" si="20"/>
        <v>47520</v>
      </c>
      <c r="G75" s="122">
        <f t="shared" si="20"/>
        <v>47520</v>
      </c>
      <c r="H75" s="64">
        <f t="shared" si="20"/>
        <v>47520</v>
      </c>
      <c r="I75" s="64">
        <f t="shared" si="20"/>
        <v>47520</v>
      </c>
      <c r="J75" s="64">
        <f t="shared" si="20"/>
        <v>0</v>
      </c>
      <c r="K75" s="64">
        <f t="shared" si="20"/>
        <v>0</v>
      </c>
      <c r="L75" s="71"/>
    </row>
    <row r="76" spans="1:14" x14ac:dyDescent="0.2">
      <c r="A76" s="1" t="s">
        <v>45</v>
      </c>
      <c r="C76" s="100"/>
      <c r="D76" s="65">
        <v>0</v>
      </c>
      <c r="E76" s="65">
        <v>0</v>
      </c>
      <c r="F76" s="120">
        <v>0</v>
      </c>
      <c r="G76" s="120">
        <v>0</v>
      </c>
      <c r="H76" s="65">
        <v>0</v>
      </c>
      <c r="I76" s="65">
        <v>0</v>
      </c>
      <c r="J76" s="65">
        <v>0</v>
      </c>
      <c r="K76" s="65">
        <v>0</v>
      </c>
      <c r="L76" s="71"/>
    </row>
    <row r="77" spans="1:14" ht="17" thickBot="1" x14ac:dyDescent="0.25">
      <c r="A77" s="1" t="s">
        <v>46</v>
      </c>
      <c r="C77" s="100"/>
      <c r="D77" s="98">
        <f>SUM(D74:D76)</f>
        <v>-179869.87200000003</v>
      </c>
      <c r="E77" s="98">
        <f t="shared" ref="E77:K77" si="21">SUM(E74:E76)</f>
        <v>-179869.87200000003</v>
      </c>
      <c r="F77" s="97">
        <f t="shared" si="21"/>
        <v>-179869.87200000003</v>
      </c>
      <c r="G77" s="97">
        <f t="shared" si="21"/>
        <v>-179869.87200000003</v>
      </c>
      <c r="H77" s="98">
        <f t="shared" si="21"/>
        <v>-179869.87200000003</v>
      </c>
      <c r="I77" s="98">
        <f t="shared" si="21"/>
        <v>-179869.87200000003</v>
      </c>
      <c r="J77" s="98">
        <f t="shared" si="21"/>
        <v>-200303.47200000001</v>
      </c>
      <c r="K77" s="98">
        <f t="shared" si="21"/>
        <v>-200303.47200000001</v>
      </c>
      <c r="L77" s="99"/>
    </row>
    <row r="78" spans="1:14" ht="17" thickTop="1" x14ac:dyDescent="0.2">
      <c r="A78" s="6"/>
      <c r="C78" s="100"/>
      <c r="D78" s="34"/>
      <c r="E78" s="34"/>
      <c r="F78" s="100"/>
      <c r="G78" s="100"/>
      <c r="H78" s="34"/>
      <c r="I78" s="34"/>
      <c r="J78" s="34"/>
      <c r="K78" s="34"/>
    </row>
    <row r="80" spans="1:14" x14ac:dyDescent="0.2">
      <c r="A80" s="4" t="s">
        <v>47</v>
      </c>
    </row>
    <row r="81" spans="1:11" x14ac:dyDescent="0.2">
      <c r="C81" s="116">
        <v>0</v>
      </c>
      <c r="D81" s="36">
        <v>1</v>
      </c>
      <c r="E81" s="36">
        <v>2</v>
      </c>
      <c r="F81" s="116">
        <v>3</v>
      </c>
      <c r="G81" s="116">
        <v>4</v>
      </c>
      <c r="H81" s="36">
        <v>5</v>
      </c>
      <c r="I81" s="36">
        <v>6</v>
      </c>
      <c r="J81" s="36">
        <v>7</v>
      </c>
      <c r="K81" s="36">
        <v>8</v>
      </c>
    </row>
    <row r="82" spans="1:11" x14ac:dyDescent="0.2">
      <c r="A82" s="1" t="s">
        <v>48</v>
      </c>
      <c r="C82" s="119">
        <f>C63</f>
        <v>-813296.25</v>
      </c>
      <c r="D82" s="61">
        <f t="shared" ref="D82:K82" si="22">D63</f>
        <v>-109231.022</v>
      </c>
      <c r="E82" s="61">
        <f t="shared" si="22"/>
        <v>-13724.67200000002</v>
      </c>
      <c r="F82" s="119">
        <f t="shared" si="22"/>
        <v>-13724.67200000002</v>
      </c>
      <c r="G82" s="119">
        <f t="shared" si="22"/>
        <v>-13724.67200000002</v>
      </c>
      <c r="H82" s="61">
        <f t="shared" si="22"/>
        <v>-13724.67200000002</v>
      </c>
      <c r="I82" s="61">
        <f t="shared" si="22"/>
        <v>-13724.67200000002</v>
      </c>
      <c r="J82" s="61">
        <f t="shared" si="22"/>
        <v>-13724.67200000002</v>
      </c>
      <c r="K82" s="61">
        <f t="shared" si="22"/>
        <v>-13724.67200000002</v>
      </c>
    </row>
    <row r="83" spans="1:11" x14ac:dyDescent="0.2">
      <c r="A83" s="1" t="s">
        <v>49</v>
      </c>
      <c r="C83" s="120">
        <f>C77</f>
        <v>0</v>
      </c>
      <c r="D83" s="65">
        <f t="shared" ref="D83:K83" si="23">D77</f>
        <v>-179869.87200000003</v>
      </c>
      <c r="E83" s="65">
        <f t="shared" si="23"/>
        <v>-179869.87200000003</v>
      </c>
      <c r="F83" s="120">
        <f t="shared" si="23"/>
        <v>-179869.87200000003</v>
      </c>
      <c r="G83" s="120">
        <f t="shared" si="23"/>
        <v>-179869.87200000003</v>
      </c>
      <c r="H83" s="65">
        <f t="shared" si="23"/>
        <v>-179869.87200000003</v>
      </c>
      <c r="I83" s="65">
        <f t="shared" si="23"/>
        <v>-179869.87200000003</v>
      </c>
      <c r="J83" s="65">
        <f t="shared" si="23"/>
        <v>-200303.47200000001</v>
      </c>
      <c r="K83" s="65">
        <f t="shared" si="23"/>
        <v>-200303.47200000001</v>
      </c>
    </row>
    <row r="84" spans="1:11" ht="17" thickBot="1" x14ac:dyDescent="0.25">
      <c r="A84" s="1" t="s">
        <v>74</v>
      </c>
      <c r="B84" s="83"/>
      <c r="C84" s="102">
        <f>C82-C83</f>
        <v>-813296.25</v>
      </c>
      <c r="D84" s="102">
        <f>D82-D83</f>
        <v>70638.850000000035</v>
      </c>
      <c r="E84" s="102">
        <f t="shared" ref="E84:K84" si="24">E82-E83</f>
        <v>166145.20000000001</v>
      </c>
      <c r="F84" s="102">
        <f t="shared" si="24"/>
        <v>166145.20000000001</v>
      </c>
      <c r="G84" s="102">
        <f t="shared" si="24"/>
        <v>166145.20000000001</v>
      </c>
      <c r="H84" s="102">
        <f t="shared" si="24"/>
        <v>166145.20000000001</v>
      </c>
      <c r="I84" s="102">
        <f t="shared" si="24"/>
        <v>166145.20000000001</v>
      </c>
      <c r="J84" s="102">
        <f t="shared" si="24"/>
        <v>186578.8</v>
      </c>
      <c r="K84" s="102">
        <f t="shared" si="24"/>
        <v>186578.8</v>
      </c>
    </row>
    <row r="85" spans="1:11" customFormat="1" ht="14" thickTop="1" x14ac:dyDescent="0.15">
      <c r="B85" s="107"/>
      <c r="C85" s="121"/>
      <c r="F85" s="121"/>
      <c r="G85" s="121"/>
    </row>
    <row r="86" spans="1:11" x14ac:dyDescent="0.2">
      <c r="B86" s="2" t="s">
        <v>77</v>
      </c>
      <c r="C86" s="83" t="s">
        <v>62</v>
      </c>
    </row>
    <row r="87" spans="1:11" x14ac:dyDescent="0.2">
      <c r="A87" s="1" t="s">
        <v>72</v>
      </c>
      <c r="B87" s="58">
        <v>0.11865079999999999</v>
      </c>
      <c r="C87" s="122">
        <f>NPV(B87,D84:K84)+C84</f>
        <v>-51763.699796794564</v>
      </c>
      <c r="D87" s="60"/>
      <c r="E87" s="60"/>
      <c r="F87" s="137"/>
      <c r="G87" s="138" t="s">
        <v>73</v>
      </c>
      <c r="H87" s="9"/>
      <c r="I87" s="10" t="s">
        <v>0</v>
      </c>
    </row>
    <row r="88" spans="1:11" x14ac:dyDescent="0.2">
      <c r="A88" s="1" t="s">
        <v>72</v>
      </c>
      <c r="B88" s="76">
        <v>9.8550800000000008E-2</v>
      </c>
      <c r="C88" s="77">
        <f>NPV(B88,D84:K84)+C84</f>
        <v>11049.666466294904</v>
      </c>
      <c r="F88" s="139" t="s">
        <v>64</v>
      </c>
      <c r="G88" s="140">
        <f>PMT(B88,K48,-I88)</f>
        <v>-181579.06145959508</v>
      </c>
      <c r="H88" s="5"/>
      <c r="I88" s="40">
        <f>NPV(B88,D63:K63)+C63</f>
        <v>-973842.7459794071</v>
      </c>
    </row>
    <row r="89" spans="1:11" x14ac:dyDescent="0.2">
      <c r="A89" s="1" t="s">
        <v>72</v>
      </c>
      <c r="B89" s="59">
        <v>0.14000000000000001</v>
      </c>
      <c r="C89" s="122">
        <f>NPV(B89,D84:K84)+C84</f>
        <v>-111019.56787451694</v>
      </c>
      <c r="F89" s="139" t="s">
        <v>1</v>
      </c>
      <c r="G89" s="140">
        <f>PMT(B88,I81,-I89)</f>
        <v>-179869.87200000006</v>
      </c>
      <c r="H89" s="5"/>
      <c r="I89" s="40">
        <f>NPV(B88,D77:I77)</f>
        <v>-786718.35261696333</v>
      </c>
      <c r="J89" s="83" t="s">
        <v>88</v>
      </c>
    </row>
    <row r="90" spans="1:11" x14ac:dyDescent="0.2">
      <c r="A90" s="1" t="s">
        <v>50</v>
      </c>
      <c r="C90" s="123">
        <f>IRR(C84:K84)</f>
        <v>0.10192019234025862</v>
      </c>
      <c r="D90" s="38" t="s">
        <v>56</v>
      </c>
      <c r="F90" s="141" t="s">
        <v>1</v>
      </c>
      <c r="G90" s="142">
        <f>PMT(B88,K66,-I90)</f>
        <v>-183639.34077540346</v>
      </c>
      <c r="H90" s="80"/>
      <c r="I90" s="82">
        <f>NPV(B88,D77:K77)</f>
        <v>-984892.41244570212</v>
      </c>
      <c r="J90" s="83" t="s">
        <v>89</v>
      </c>
    </row>
    <row r="92" spans="1:11" x14ac:dyDescent="0.2">
      <c r="A92" s="4" t="s">
        <v>51</v>
      </c>
    </row>
    <row r="93" spans="1:11" x14ac:dyDescent="0.2">
      <c r="I93" s="3"/>
      <c r="J93" s="3"/>
      <c r="K93" s="3"/>
    </row>
    <row r="94" spans="1:11" ht="17" thickBot="1" x14ac:dyDescent="0.25">
      <c r="B94" s="1" t="s">
        <v>65</v>
      </c>
      <c r="C94" s="13" t="s">
        <v>2</v>
      </c>
      <c r="D94" s="3"/>
      <c r="E94" s="3"/>
      <c r="F94" s="13"/>
      <c r="G94" s="13"/>
      <c r="H94" s="3"/>
      <c r="I94" s="12"/>
    </row>
    <row r="95" spans="1:11" ht="17" thickTop="1" x14ac:dyDescent="0.2">
      <c r="B95" s="103">
        <f>NPV(B88,D84:K84)+C84</f>
        <v>11049.666466294904</v>
      </c>
      <c r="C95" s="104">
        <v>0</v>
      </c>
      <c r="D95" s="105">
        <v>0.02</v>
      </c>
      <c r="E95" s="105">
        <v>0.03</v>
      </c>
      <c r="F95" s="105">
        <v>0.04</v>
      </c>
      <c r="G95" s="105">
        <v>0.06</v>
      </c>
      <c r="H95" s="106">
        <v>0.08</v>
      </c>
    </row>
    <row r="96" spans="1:11" x14ac:dyDescent="0.2">
      <c r="B96" s="108" t="s">
        <v>57</v>
      </c>
      <c r="C96" s="124">
        <f t="dataTable" ref="C96:H101" dt2D="1" dtr="1" r1="C14" r2="C15"/>
        <v>11049.666466294904</v>
      </c>
      <c r="D96" s="41">
        <v>55400.667782058707</v>
      </c>
      <c r="E96" s="41">
        <v>78836.779846282443</v>
      </c>
      <c r="F96" s="124">
        <v>103153.84182440268</v>
      </c>
      <c r="G96" s="124">
        <v>154558.12540664093</v>
      </c>
      <c r="H96" s="41">
        <v>209877.97744291776</v>
      </c>
      <c r="I96" s="1" t="s">
        <v>52</v>
      </c>
    </row>
    <row r="97" spans="1:9" x14ac:dyDescent="0.2">
      <c r="B97" s="108">
        <v>0.2</v>
      </c>
      <c r="C97" s="124">
        <v>-138978.26952835324</v>
      </c>
      <c r="D97" s="41">
        <v>-94627.268212589668</v>
      </c>
      <c r="E97" s="41">
        <v>-71191.156148365699</v>
      </c>
      <c r="F97" s="124">
        <v>-46874.094170245458</v>
      </c>
      <c r="G97" s="124">
        <v>4530.1894119926728</v>
      </c>
      <c r="H97" s="41">
        <v>59850.041448269389</v>
      </c>
      <c r="I97" s="1"/>
    </row>
    <row r="98" spans="1:9" x14ac:dyDescent="0.2">
      <c r="A98" s="3" t="s">
        <v>53</v>
      </c>
      <c r="B98" s="109">
        <v>0.3</v>
      </c>
      <c r="C98" s="124">
        <v>-213992.23752567742</v>
      </c>
      <c r="D98" s="41">
        <v>-169641.23620991374</v>
      </c>
      <c r="E98" s="41">
        <v>-146205.12414569</v>
      </c>
      <c r="F98" s="124">
        <v>-121888.06216756965</v>
      </c>
      <c r="G98" s="124">
        <v>-70483.778585331514</v>
      </c>
      <c r="H98" s="41">
        <v>-15163.926549054799</v>
      </c>
    </row>
    <row r="99" spans="1:9" x14ac:dyDescent="0.2">
      <c r="A99" s="3" t="s">
        <v>54</v>
      </c>
      <c r="B99" s="109">
        <v>0.56000000000000005</v>
      </c>
      <c r="C99" s="124">
        <v>-409028.55431872024</v>
      </c>
      <c r="D99" s="41">
        <v>-364677.55300295656</v>
      </c>
      <c r="E99" s="41">
        <v>-341241.44093873276</v>
      </c>
      <c r="F99" s="124">
        <v>-316924.3789606124</v>
      </c>
      <c r="G99" s="124">
        <v>-265520.09537837422</v>
      </c>
      <c r="H99" s="41">
        <v>-210200.24334209738</v>
      </c>
      <c r="I99" s="1" t="s">
        <v>66</v>
      </c>
    </row>
    <row r="100" spans="1:9" x14ac:dyDescent="0.2">
      <c r="B100" s="109">
        <v>0.8</v>
      </c>
      <c r="C100" s="124">
        <v>-589062.07751229801</v>
      </c>
      <c r="D100" s="41">
        <v>-544711.07619653444</v>
      </c>
      <c r="E100" s="41">
        <v>-521274.96413231059</v>
      </c>
      <c r="F100" s="124">
        <v>-496957.90215419041</v>
      </c>
      <c r="G100" s="124">
        <v>-445553.61857195199</v>
      </c>
      <c r="H100" s="41">
        <v>-390233.76653567539</v>
      </c>
    </row>
    <row r="101" spans="1:9" ht="17" thickBot="1" x14ac:dyDescent="0.25">
      <c r="B101" s="110">
        <v>1</v>
      </c>
      <c r="C101" s="124">
        <v>-739090.01350694627</v>
      </c>
      <c r="D101" s="41">
        <v>-694739.01219118258</v>
      </c>
      <c r="E101" s="41">
        <v>-671302.90012695885</v>
      </c>
      <c r="F101" s="124">
        <v>-646985.83814883872</v>
      </c>
      <c r="G101" s="124">
        <v>-595581.55456660036</v>
      </c>
      <c r="H101" s="41">
        <v>-540261.70253032376</v>
      </c>
      <c r="I101" s="1" t="s">
        <v>55</v>
      </c>
    </row>
    <row r="102" spans="1:9" ht="17" thickTop="1" x14ac:dyDescent="0.2"/>
    <row r="104" spans="1:9" x14ac:dyDescent="0.2">
      <c r="B104" s="39" t="s">
        <v>56</v>
      </c>
      <c r="C104" s="83" t="s">
        <v>56</v>
      </c>
      <c r="D104" s="78"/>
    </row>
    <row r="106" spans="1:9" x14ac:dyDescent="0.2">
      <c r="C106" s="125"/>
    </row>
  </sheetData>
  <scenarios current="3" show="3">
    <scenario name="Inflation 3%" locked="1" count="1" user="Microsoft Office User" comment="Created by Microsoft Office User on 2/12/2025_x000a_Modified by Microsoft Office User on 2/12/2025">
      <inputCells r="C14" val="0.03" numFmtId="9"/>
    </scenario>
    <scenario name="Base" locked="1" count="1" user="Microsoft Office User" comment="Created by Microsoft Office User on 2/12/2025">
      <inputCells r="C14" val="0" numFmtId="9"/>
    </scenario>
    <scenario name="Paid 3 month lay off" locked="1" count="1" user="Microsoft Office User" comment="Created by Microsoft Office User on 2/13/2025_x000a_Modified by Microsoft Office User on 2/13/2025">
      <inputCells r="D53" val="-83777.5"/>
    </scenario>
    <scenario name="Paid 6 months lay off" locked="1" count="1" user="Microsoft Office User" comment="Created by Microsoft Office User on 2/13/2025">
      <inputCells r="D53" val="-167555" numFmtId="171"/>
    </scenario>
  </scenarios>
  <mergeCells count="3">
    <mergeCell ref="A1:G1"/>
    <mergeCell ref="A12:E12"/>
    <mergeCell ref="A13:C13"/>
  </mergeCells>
  <pageMargins left="0.75" right="0.75" top="1" bottom="1" header="0.5" footer="0.5"/>
  <pageSetup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7C90-5C05-D54D-A829-CBEA6BB3574F}">
  <dimension ref="A1:N106"/>
  <sheetViews>
    <sheetView topLeftCell="A81" zoomScaleNormal="100" workbookViewId="0">
      <selection activeCell="M94" sqref="M94"/>
    </sheetView>
  </sheetViews>
  <sheetFormatPr baseColWidth="10" defaultColWidth="9.1640625" defaultRowHeight="16" x14ac:dyDescent="0.2"/>
  <cols>
    <col min="1" max="1" width="14.6640625" style="2" customWidth="1"/>
    <col min="2" max="2" width="12.5" style="2" customWidth="1"/>
    <col min="3" max="3" width="14" style="2" customWidth="1"/>
    <col min="4" max="4" width="13.33203125" style="2" customWidth="1"/>
    <col min="5" max="5" width="10.83203125" style="2" customWidth="1"/>
    <col min="6" max="6" width="11.5" style="2" customWidth="1"/>
    <col min="7" max="7" width="12.1640625" style="2" bestFit="1" customWidth="1"/>
    <col min="8" max="8" width="14" style="2" customWidth="1"/>
    <col min="9" max="9" width="11.33203125" style="2" customWidth="1"/>
    <col min="10" max="10" width="11.83203125" style="2" customWidth="1"/>
    <col min="11" max="11" width="11.5" style="2" customWidth="1"/>
    <col min="12" max="16384" width="9.1640625" style="2"/>
  </cols>
  <sheetData>
    <row r="1" spans="1:8" ht="18" x14ac:dyDescent="0.2">
      <c r="A1" s="153" t="s">
        <v>84</v>
      </c>
      <c r="B1" s="153"/>
      <c r="C1" s="153"/>
      <c r="D1" s="153"/>
      <c r="E1" s="153"/>
      <c r="F1" s="153"/>
      <c r="G1" s="153"/>
    </row>
    <row r="3" spans="1:8" x14ac:dyDescent="0.2">
      <c r="A3" s="13" t="s">
        <v>75</v>
      </c>
      <c r="B3" s="3"/>
      <c r="C3" s="3"/>
      <c r="D3" s="3"/>
      <c r="E3" s="3"/>
      <c r="F3" s="3"/>
    </row>
    <row r="4" spans="1:8" ht="17" thickBot="1" x14ac:dyDescent="0.25">
      <c r="B4" s="3"/>
    </row>
    <row r="5" spans="1:8" ht="17" thickTop="1" x14ac:dyDescent="0.2">
      <c r="A5" s="52" t="s">
        <v>76</v>
      </c>
      <c r="B5" s="15"/>
      <c r="C5" s="15"/>
      <c r="D5" s="15"/>
      <c r="E5" s="16"/>
      <c r="F5" s="15"/>
      <c r="G5" s="17"/>
    </row>
    <row r="6" spans="1:8" x14ac:dyDescent="0.2">
      <c r="A6" s="18"/>
      <c r="B6" s="2" t="s">
        <v>77</v>
      </c>
      <c r="C6" s="2" t="s">
        <v>62</v>
      </c>
      <c r="D6" s="19"/>
      <c r="F6" s="3"/>
      <c r="G6" s="20"/>
    </row>
    <row r="7" spans="1:8" x14ac:dyDescent="0.2">
      <c r="A7" s="1" t="s">
        <v>72</v>
      </c>
      <c r="B7" s="58">
        <v>0.11865079999999999</v>
      </c>
      <c r="C7" s="145">
        <f>NPV(B87,D84:K84)+C84</f>
        <v>94715.90500768018</v>
      </c>
      <c r="F7" s="3" t="s">
        <v>73</v>
      </c>
      <c r="G7" s="27" t="s">
        <v>0</v>
      </c>
    </row>
    <row r="8" spans="1:8" x14ac:dyDescent="0.2">
      <c r="A8" s="1" t="s">
        <v>72</v>
      </c>
      <c r="B8" s="76">
        <v>9.8550800000000008E-2</v>
      </c>
      <c r="C8" s="126">
        <f>NPV(B88,D84:K84)+C84</f>
        <v>165775.27190327237</v>
      </c>
      <c r="E8" s="1" t="s">
        <v>64</v>
      </c>
      <c r="F8" s="147">
        <f>PMT(B88,K48,-I88)</f>
        <v>-171866.83261755778</v>
      </c>
      <c r="G8" s="148">
        <f>NPV(B88,D63:K63)+C63</f>
        <v>-921754.23131762911</v>
      </c>
    </row>
    <row r="9" spans="1:8" x14ac:dyDescent="0.2">
      <c r="A9" s="1" t="s">
        <v>72</v>
      </c>
      <c r="B9" s="59">
        <v>0.14000000000000001</v>
      </c>
      <c r="C9" s="145">
        <f>NPV(B89,D84:K84)+C84</f>
        <v>27655.513409717125</v>
      </c>
      <c r="E9" s="1" t="s">
        <v>1</v>
      </c>
      <c r="F9" s="147">
        <f>PMT(B88,I81,-I89)</f>
        <v>-193770.35273453005</v>
      </c>
      <c r="G9" s="148">
        <f>NPV(B88,D77:I77)</f>
        <v>-847516.5462358105</v>
      </c>
      <c r="H9" s="83" t="s">
        <v>88</v>
      </c>
    </row>
    <row r="10" spans="1:8" ht="17" thickBot="1" x14ac:dyDescent="0.25">
      <c r="A10" s="24" t="s">
        <v>50</v>
      </c>
      <c r="B10" s="24"/>
      <c r="C10" s="146">
        <f>IRR(C84:K84)</f>
        <v>0.14960054346684215</v>
      </c>
      <c r="D10" s="24"/>
      <c r="E10" s="24" t="s">
        <v>1</v>
      </c>
      <c r="F10" s="147">
        <f>PMT(B88,K66,-I90)</f>
        <v>-202776.66730049939</v>
      </c>
      <c r="G10" s="147">
        <f>NPV(B88,D77:K77)</f>
        <v>-1087529.5032209016</v>
      </c>
      <c r="H10" s="83" t="s">
        <v>89</v>
      </c>
    </row>
    <row r="11" spans="1:8" ht="18" thickTop="1" thickBot="1" x14ac:dyDescent="0.25">
      <c r="B11" s="3"/>
      <c r="D11" s="3"/>
      <c r="E11" s="3"/>
      <c r="F11" s="3"/>
    </row>
    <row r="12" spans="1:8" ht="19" thickTop="1" x14ac:dyDescent="0.2">
      <c r="A12" s="149" t="s">
        <v>81</v>
      </c>
      <c r="B12" s="150"/>
      <c r="C12" s="150"/>
      <c r="D12" s="150"/>
      <c r="E12" s="151"/>
      <c r="F12" s="3"/>
    </row>
    <row r="13" spans="1:8" x14ac:dyDescent="0.2">
      <c r="A13" s="152" t="s">
        <v>82</v>
      </c>
      <c r="B13" s="152"/>
      <c r="C13" s="152"/>
      <c r="D13" s="3"/>
      <c r="E13" s="53"/>
      <c r="F13" s="3"/>
    </row>
    <row r="14" spans="1:8" x14ac:dyDescent="0.2">
      <c r="A14" s="2" t="s">
        <v>2</v>
      </c>
      <c r="B14" s="3"/>
      <c r="C14" s="50">
        <v>0.03</v>
      </c>
      <c r="D14" s="3"/>
      <c r="E14" s="53"/>
      <c r="F14" s="3"/>
    </row>
    <row r="15" spans="1:8" ht="17" thickBot="1" x14ac:dyDescent="0.25">
      <c r="A15" s="2" t="s">
        <v>83</v>
      </c>
      <c r="B15" s="3"/>
      <c r="C15" s="51">
        <v>0</v>
      </c>
      <c r="D15" s="55"/>
      <c r="E15" s="54"/>
      <c r="F15" s="3"/>
    </row>
    <row r="16" spans="1:8" ht="17" thickTop="1" x14ac:dyDescent="0.2">
      <c r="A16" s="14"/>
      <c r="B16" s="15"/>
      <c r="C16" s="15"/>
      <c r="D16" s="15"/>
      <c r="E16" s="20"/>
    </row>
    <row r="17" spans="1:10" x14ac:dyDescent="0.2">
      <c r="A17" s="26" t="s">
        <v>58</v>
      </c>
      <c r="B17" s="3"/>
      <c r="C17" s="3"/>
      <c r="D17" s="3"/>
      <c r="E17" s="27"/>
    </row>
    <row r="18" spans="1:10" x14ac:dyDescent="0.2">
      <c r="A18" s="18"/>
      <c r="B18" s="12" t="s">
        <v>63</v>
      </c>
      <c r="D18" s="22" t="s">
        <v>3</v>
      </c>
      <c r="E18" s="27"/>
    </row>
    <row r="19" spans="1:10" x14ac:dyDescent="0.2">
      <c r="A19" s="18"/>
      <c r="B19" s="31" t="s">
        <v>4</v>
      </c>
      <c r="D19" s="31" t="s">
        <v>4</v>
      </c>
      <c r="E19" s="32" t="s">
        <v>5</v>
      </c>
    </row>
    <row r="20" spans="1:10" x14ac:dyDescent="0.2">
      <c r="A20" s="21" t="s">
        <v>6</v>
      </c>
      <c r="B20" s="86">
        <v>1</v>
      </c>
      <c r="D20" s="87">
        <v>12</v>
      </c>
      <c r="E20" s="88">
        <v>3</v>
      </c>
    </row>
    <row r="21" spans="1:10" x14ac:dyDescent="0.2">
      <c r="A21" s="21" t="s">
        <v>7</v>
      </c>
      <c r="B21" s="86">
        <v>8</v>
      </c>
      <c r="D21" s="87">
        <f>B21</f>
        <v>8</v>
      </c>
      <c r="E21" s="88">
        <f>B21</f>
        <v>8</v>
      </c>
    </row>
    <row r="22" spans="1:10" x14ac:dyDescent="0.2">
      <c r="A22" s="21" t="s">
        <v>8</v>
      </c>
      <c r="B22" s="86">
        <v>2</v>
      </c>
      <c r="D22" s="87">
        <f>B22</f>
        <v>2</v>
      </c>
      <c r="E22" s="88">
        <v>1</v>
      </c>
    </row>
    <row r="23" spans="1:10" x14ac:dyDescent="0.2">
      <c r="A23" s="21" t="s">
        <v>9</v>
      </c>
      <c r="B23" s="89">
        <v>11.36</v>
      </c>
      <c r="D23" s="89">
        <v>7.33</v>
      </c>
      <c r="E23" s="90">
        <v>7.85</v>
      </c>
    </row>
    <row r="24" spans="1:10" x14ac:dyDescent="0.2">
      <c r="A24" s="21" t="s">
        <v>10</v>
      </c>
      <c r="B24" s="91">
        <v>210</v>
      </c>
      <c r="D24" s="92">
        <f>B24</f>
        <v>210</v>
      </c>
      <c r="E24" s="93">
        <f>B24</f>
        <v>210</v>
      </c>
    </row>
    <row r="25" spans="1:10" ht="17" thickBot="1" x14ac:dyDescent="0.25">
      <c r="A25" s="18"/>
      <c r="B25" s="48">
        <f>B20*B21*B22*B23*B24</f>
        <v>38169.599999999999</v>
      </c>
      <c r="C25" s="56"/>
      <c r="D25" s="48">
        <f t="shared" ref="D25:E25" si="0">D20*D21*D22*D23*D24</f>
        <v>295545.60000000003</v>
      </c>
      <c r="E25" s="48">
        <f t="shared" si="0"/>
        <v>39563.999999999993</v>
      </c>
      <c r="F25" s="70"/>
      <c r="G25" s="37"/>
      <c r="H25" s="37"/>
      <c r="J25" s="37" t="s">
        <v>56</v>
      </c>
    </row>
    <row r="26" spans="1:10" ht="17" thickTop="1" x14ac:dyDescent="0.2">
      <c r="A26" s="18"/>
      <c r="E26" s="20"/>
    </row>
    <row r="27" spans="1:10" x14ac:dyDescent="0.2">
      <c r="A27" s="28"/>
      <c r="B27" s="29"/>
      <c r="C27" s="29"/>
      <c r="D27" s="29"/>
      <c r="E27" s="30"/>
    </row>
    <row r="28" spans="1:10" x14ac:dyDescent="0.2">
      <c r="A28" s="26" t="s">
        <v>11</v>
      </c>
      <c r="B28" s="3"/>
      <c r="C28" s="3"/>
      <c r="D28" s="3"/>
      <c r="E28" s="27"/>
    </row>
    <row r="29" spans="1:10" x14ac:dyDescent="0.2">
      <c r="A29" s="18" t="s">
        <v>80</v>
      </c>
      <c r="B29" s="38">
        <f>TestInflation</f>
        <v>0.03</v>
      </c>
      <c r="E29" s="20"/>
    </row>
    <row r="30" spans="1:10" x14ac:dyDescent="0.2">
      <c r="A30" s="18" t="s">
        <v>67</v>
      </c>
      <c r="B30" s="38">
        <f>0.053+B29</f>
        <v>8.299999999999999E-2</v>
      </c>
      <c r="E30" s="20"/>
    </row>
    <row r="31" spans="1:10" x14ac:dyDescent="0.2">
      <c r="A31" s="21" t="s">
        <v>68</v>
      </c>
      <c r="B31" s="38">
        <v>0.06</v>
      </c>
      <c r="C31" s="3"/>
      <c r="D31" s="1" t="s">
        <v>87</v>
      </c>
      <c r="E31" s="57">
        <v>1.25</v>
      </c>
    </row>
    <row r="32" spans="1:10" x14ac:dyDescent="0.2">
      <c r="A32" s="21" t="s">
        <v>12</v>
      </c>
      <c r="B32" s="94">
        <v>0.43</v>
      </c>
      <c r="D32" s="1" t="s">
        <v>13</v>
      </c>
      <c r="E32" s="47">
        <f>B30+(E31*B31)</f>
        <v>0.15799999999999997</v>
      </c>
    </row>
    <row r="33" spans="1:11" x14ac:dyDescent="0.2">
      <c r="A33" s="21" t="s">
        <v>14</v>
      </c>
      <c r="B33" s="94">
        <v>6.8000000000000005E-2</v>
      </c>
      <c r="D33" s="1" t="s">
        <v>78</v>
      </c>
      <c r="E33" s="47">
        <v>0.33</v>
      </c>
    </row>
    <row r="34" spans="1:11" x14ac:dyDescent="0.2">
      <c r="A34" s="21" t="s">
        <v>15</v>
      </c>
      <c r="B34" s="46">
        <f>B33*(1-TAX)</f>
        <v>3.876000000000001E-2</v>
      </c>
      <c r="D34" s="1" t="s">
        <v>79</v>
      </c>
      <c r="E34" s="47">
        <v>0.67</v>
      </c>
    </row>
    <row r="35" spans="1:11" ht="17" thickBot="1" x14ac:dyDescent="0.25">
      <c r="A35" s="23" t="s">
        <v>11</v>
      </c>
      <c r="B35" s="75">
        <f>(E33*B34)+(E34*E32)</f>
        <v>0.11865079999999999</v>
      </c>
      <c r="C35" s="24"/>
      <c r="D35" s="24"/>
      <c r="E35" s="25"/>
    </row>
    <row r="36" spans="1:11" ht="17" thickTop="1" x14ac:dyDescent="0.2">
      <c r="H36" s="2" t="s">
        <v>56</v>
      </c>
    </row>
    <row r="37" spans="1:11" x14ac:dyDescent="0.2">
      <c r="A37" s="4" t="s">
        <v>59</v>
      </c>
    </row>
    <row r="39" spans="1:11" x14ac:dyDescent="0.2">
      <c r="A39" s="33" t="s">
        <v>16</v>
      </c>
      <c r="B39" s="3"/>
      <c r="C39" s="3"/>
      <c r="D39" s="3"/>
      <c r="F39" s="33" t="s">
        <v>60</v>
      </c>
      <c r="G39" s="3"/>
      <c r="H39" s="3"/>
    </row>
    <row r="40" spans="1:11" x14ac:dyDescent="0.2">
      <c r="A40" s="1" t="s">
        <v>17</v>
      </c>
      <c r="D40" s="86">
        <v>415807</v>
      </c>
      <c r="F40" s="1" t="s">
        <v>18</v>
      </c>
      <c r="H40" s="86">
        <v>850000</v>
      </c>
    </row>
    <row r="41" spans="1:11" x14ac:dyDescent="0.2">
      <c r="A41" s="1" t="s">
        <v>19</v>
      </c>
      <c r="D41" s="86">
        <v>130682</v>
      </c>
      <c r="F41" s="1" t="s">
        <v>20</v>
      </c>
      <c r="H41" s="86">
        <v>5000</v>
      </c>
    </row>
    <row r="42" spans="1:11" x14ac:dyDescent="0.2">
      <c r="A42" s="1" t="s">
        <v>21</v>
      </c>
      <c r="D42" s="49">
        <f>D40-D41</f>
        <v>285125</v>
      </c>
      <c r="F42" s="1" t="s">
        <v>22</v>
      </c>
      <c r="H42" s="86">
        <v>155000</v>
      </c>
    </row>
    <row r="43" spans="1:11" ht="17" thickBot="1" x14ac:dyDescent="0.25">
      <c r="A43" s="1" t="s">
        <v>23</v>
      </c>
      <c r="D43" s="96">
        <v>130000</v>
      </c>
      <c r="F43" s="2" t="s">
        <v>71</v>
      </c>
      <c r="H43" s="95">
        <f>SUM(H40:H42)</f>
        <v>1010000</v>
      </c>
    </row>
    <row r="44" spans="1:11" ht="17" thickTop="1" x14ac:dyDescent="0.2">
      <c r="A44" s="1" t="s">
        <v>69</v>
      </c>
      <c r="D44" s="43">
        <f>D43-D42</f>
        <v>-155125</v>
      </c>
      <c r="F44" s="1" t="s">
        <v>24</v>
      </c>
      <c r="H44" s="43">
        <f>D43</f>
        <v>130000</v>
      </c>
    </row>
    <row r="45" spans="1:11" x14ac:dyDescent="0.2">
      <c r="A45" s="1" t="s">
        <v>34</v>
      </c>
      <c r="D45" s="44">
        <f>D44*B32</f>
        <v>-66703.75</v>
      </c>
      <c r="F45" s="1" t="s">
        <v>25</v>
      </c>
      <c r="H45" s="44">
        <f>-D44*B32</f>
        <v>66703.75</v>
      </c>
    </row>
    <row r="46" spans="1:11" ht="17" thickBot="1" x14ac:dyDescent="0.25">
      <c r="A46" s="1" t="s">
        <v>70</v>
      </c>
      <c r="D46" s="45">
        <f>D44-D45</f>
        <v>-88421.25</v>
      </c>
      <c r="F46" s="1" t="s">
        <v>26</v>
      </c>
      <c r="H46" s="45">
        <f>H43-(H45+H44)</f>
        <v>813296.25</v>
      </c>
    </row>
    <row r="47" spans="1:11" ht="17" thickTop="1" x14ac:dyDescent="0.2"/>
    <row r="48" spans="1:11" s="36" customFormat="1" x14ac:dyDescent="0.2">
      <c r="A48" s="35" t="s">
        <v>27</v>
      </c>
      <c r="C48" s="36">
        <v>0</v>
      </c>
      <c r="D48" s="36">
        <v>1</v>
      </c>
      <c r="E48" s="36">
        <v>2</v>
      </c>
      <c r="F48" s="36">
        <v>3</v>
      </c>
      <c r="G48" s="36">
        <v>4</v>
      </c>
      <c r="H48" s="36">
        <v>5</v>
      </c>
      <c r="I48" s="36">
        <v>6</v>
      </c>
      <c r="J48" s="36">
        <v>7</v>
      </c>
      <c r="K48" s="36">
        <v>8</v>
      </c>
    </row>
    <row r="50" spans="1:11" x14ac:dyDescent="0.2">
      <c r="A50" s="4" t="s">
        <v>61</v>
      </c>
    </row>
    <row r="52" spans="1:11" x14ac:dyDescent="0.2">
      <c r="A52" s="1" t="s">
        <v>28</v>
      </c>
      <c r="C52" s="66"/>
      <c r="D52" s="67">
        <f t="shared" ref="D52:K52" si="1">(-$B$25*(1+TestInflation)^C48)</f>
        <v>-38169.599999999999</v>
      </c>
      <c r="E52" s="67">
        <f t="shared" si="1"/>
        <v>-39314.688000000002</v>
      </c>
      <c r="F52" s="67">
        <f t="shared" si="1"/>
        <v>-40494.128639999995</v>
      </c>
      <c r="G52" s="67">
        <f t="shared" si="1"/>
        <v>-41708.952499200001</v>
      </c>
      <c r="H52" s="67">
        <f t="shared" si="1"/>
        <v>-42960.221074175992</v>
      </c>
      <c r="I52" s="67">
        <f t="shared" si="1"/>
        <v>-44249.02770640127</v>
      </c>
      <c r="J52" s="67">
        <f t="shared" si="1"/>
        <v>-45576.49853759331</v>
      </c>
      <c r="K52" s="67">
        <f t="shared" si="1"/>
        <v>-46943.793493721118</v>
      </c>
    </row>
    <row r="53" spans="1:11" x14ac:dyDescent="0.2">
      <c r="A53" s="1" t="s">
        <v>29</v>
      </c>
      <c r="C53" s="66"/>
      <c r="D53" s="67">
        <f>-$D$25*($C$15)</f>
        <v>0</v>
      </c>
      <c r="E53" s="67">
        <f t="shared" ref="E53:K53" si="2">-$D$25*($C$15)</f>
        <v>0</v>
      </c>
      <c r="F53" s="67">
        <f t="shared" si="2"/>
        <v>0</v>
      </c>
      <c r="G53" s="67">
        <f t="shared" si="2"/>
        <v>0</v>
      </c>
      <c r="H53" s="67">
        <f t="shared" si="2"/>
        <v>0</v>
      </c>
      <c r="I53" s="67">
        <f t="shared" si="2"/>
        <v>0</v>
      </c>
      <c r="J53" s="67">
        <f t="shared" si="2"/>
        <v>0</v>
      </c>
      <c r="K53" s="67">
        <f t="shared" si="2"/>
        <v>0</v>
      </c>
    </row>
    <row r="54" spans="1:11" x14ac:dyDescent="0.2">
      <c r="A54" s="1" t="s">
        <v>30</v>
      </c>
      <c r="C54" s="66"/>
      <c r="D54" s="67">
        <f t="shared" ref="D54:K54" si="3">-59500*(1+TestInflation)^C48</f>
        <v>-59500</v>
      </c>
      <c r="E54" s="67">
        <f t="shared" si="3"/>
        <v>-61285</v>
      </c>
      <c r="F54" s="67">
        <f t="shared" si="3"/>
        <v>-63123.549999999996</v>
      </c>
      <c r="G54" s="67">
        <f t="shared" si="3"/>
        <v>-65017.256500000003</v>
      </c>
      <c r="H54" s="67">
        <f t="shared" si="3"/>
        <v>-66967.774194999991</v>
      </c>
      <c r="I54" s="67">
        <f t="shared" si="3"/>
        <v>-68976.807420849989</v>
      </c>
      <c r="J54" s="67">
        <f t="shared" si="3"/>
        <v>-71046.111643475495</v>
      </c>
      <c r="K54" s="67">
        <f t="shared" si="3"/>
        <v>-73177.494992779757</v>
      </c>
    </row>
    <row r="55" spans="1:11" x14ac:dyDescent="0.2">
      <c r="A55" s="1" t="s">
        <v>85</v>
      </c>
      <c r="C55" s="66"/>
      <c r="D55" s="67">
        <f t="shared" ref="D55:K55" si="4">-26850*(1+TestInflation)^C48</f>
        <v>-26850</v>
      </c>
      <c r="E55" s="67">
        <f t="shared" si="4"/>
        <v>-27655.5</v>
      </c>
      <c r="F55" s="67">
        <f t="shared" si="4"/>
        <v>-28485.164999999997</v>
      </c>
      <c r="G55" s="67">
        <f t="shared" si="4"/>
        <v>-29339.719949999999</v>
      </c>
      <c r="H55" s="67">
        <f t="shared" si="4"/>
        <v>-30219.911548499997</v>
      </c>
      <c r="I55" s="67">
        <f t="shared" si="4"/>
        <v>-31126.508894954997</v>
      </c>
      <c r="J55" s="67">
        <f t="shared" si="4"/>
        <v>-32060.304161803648</v>
      </c>
      <c r="K55" s="67">
        <f t="shared" si="4"/>
        <v>-33022.113286657761</v>
      </c>
    </row>
    <row r="56" spans="1:11" x14ac:dyDescent="0.2">
      <c r="A56" s="1" t="s">
        <v>31</v>
      </c>
      <c r="C56" s="66"/>
      <c r="D56" s="67">
        <f t="shared" ref="D56:K56" si="5">(5200*(1+TestInflation)^C48)</f>
        <v>5200</v>
      </c>
      <c r="E56" s="67">
        <f t="shared" si="5"/>
        <v>5356</v>
      </c>
      <c r="F56" s="67">
        <f t="shared" si="5"/>
        <v>5516.6799999999994</v>
      </c>
      <c r="G56" s="67">
        <f t="shared" si="5"/>
        <v>5682.1804000000002</v>
      </c>
      <c r="H56" s="67">
        <f t="shared" si="5"/>
        <v>5852.6458119999998</v>
      </c>
      <c r="I56" s="67">
        <f t="shared" si="5"/>
        <v>6028.2251863599995</v>
      </c>
      <c r="J56" s="67">
        <f t="shared" si="5"/>
        <v>6209.0719419507996</v>
      </c>
      <c r="K56" s="67">
        <f t="shared" si="5"/>
        <v>6395.3441002093241</v>
      </c>
    </row>
    <row r="57" spans="1:11" x14ac:dyDescent="0.2">
      <c r="A57" s="1" t="s">
        <v>32</v>
      </c>
      <c r="C57" s="66"/>
      <c r="D57" s="68">
        <f>-$H$43/8</f>
        <v>-126250</v>
      </c>
      <c r="E57" s="68">
        <f t="shared" ref="E57:K57" si="6">-$H$43/8</f>
        <v>-126250</v>
      </c>
      <c r="F57" s="68">
        <f t="shared" si="6"/>
        <v>-126250</v>
      </c>
      <c r="G57" s="68">
        <f t="shared" si="6"/>
        <v>-126250</v>
      </c>
      <c r="H57" s="68">
        <f t="shared" si="6"/>
        <v>-126250</v>
      </c>
      <c r="I57" s="68">
        <f t="shared" si="6"/>
        <v>-126250</v>
      </c>
      <c r="J57" s="68">
        <f t="shared" si="6"/>
        <v>-126250</v>
      </c>
      <c r="K57" s="68">
        <f t="shared" si="6"/>
        <v>-126250</v>
      </c>
    </row>
    <row r="58" spans="1:11" x14ac:dyDescent="0.2">
      <c r="A58" s="1" t="s">
        <v>33</v>
      </c>
      <c r="C58" s="66"/>
      <c r="D58" s="67">
        <f>SUM(D52:D57)</f>
        <v>-245569.6</v>
      </c>
      <c r="E58" s="67">
        <f>SUM(E52:E57)</f>
        <v>-249149.18799999999</v>
      </c>
      <c r="F58" s="67">
        <f t="shared" ref="F58:K58" si="7">SUM(F52:F57)</f>
        <v>-252836.16364000001</v>
      </c>
      <c r="G58" s="67">
        <f t="shared" si="7"/>
        <v>-256633.74854920001</v>
      </c>
      <c r="H58" s="67">
        <f t="shared" si="7"/>
        <v>-260545.26100567597</v>
      </c>
      <c r="I58" s="67">
        <f t="shared" si="7"/>
        <v>-264574.11883584625</v>
      </c>
      <c r="J58" s="67">
        <f t="shared" si="7"/>
        <v>-268723.84240092163</v>
      </c>
      <c r="K58" s="67">
        <f t="shared" si="7"/>
        <v>-272998.05767294928</v>
      </c>
    </row>
    <row r="59" spans="1:11" x14ac:dyDescent="0.2">
      <c r="A59" s="1" t="s">
        <v>34</v>
      </c>
      <c r="C59" s="66"/>
      <c r="D59" s="68">
        <f t="shared" ref="D59:K59" si="8">D58*TAX</f>
        <v>-105594.928</v>
      </c>
      <c r="E59" s="68">
        <f t="shared" si="8"/>
        <v>-107134.15084</v>
      </c>
      <c r="F59" s="68">
        <f t="shared" si="8"/>
        <v>-108719.5503652</v>
      </c>
      <c r="G59" s="68">
        <f t="shared" si="8"/>
        <v>-110352.511876156</v>
      </c>
      <c r="H59" s="68">
        <f t="shared" si="8"/>
        <v>-112034.46223244067</v>
      </c>
      <c r="I59" s="68">
        <f t="shared" si="8"/>
        <v>-113766.87109941388</v>
      </c>
      <c r="J59" s="68">
        <f t="shared" si="8"/>
        <v>-115551.25223239629</v>
      </c>
      <c r="K59" s="68">
        <f t="shared" si="8"/>
        <v>-117389.16479936818</v>
      </c>
    </row>
    <row r="60" spans="1:11" x14ac:dyDescent="0.2">
      <c r="A60" s="1" t="s">
        <v>35</v>
      </c>
      <c r="C60" s="66"/>
      <c r="D60" s="67">
        <f>D58-D59</f>
        <v>-139974.67200000002</v>
      </c>
      <c r="E60" s="67">
        <f t="shared" ref="E60:K60" si="9">E58-E59</f>
        <v>-142015.03716000001</v>
      </c>
      <c r="F60" s="67">
        <f t="shared" si="9"/>
        <v>-144116.61327480001</v>
      </c>
      <c r="G60" s="67">
        <f t="shared" si="9"/>
        <v>-146281.23667304401</v>
      </c>
      <c r="H60" s="67">
        <f t="shared" si="9"/>
        <v>-148510.79877323529</v>
      </c>
      <c r="I60" s="67">
        <f t="shared" si="9"/>
        <v>-150807.24773643236</v>
      </c>
      <c r="J60" s="67">
        <f t="shared" si="9"/>
        <v>-153172.59016852535</v>
      </c>
      <c r="K60" s="67">
        <f t="shared" si="9"/>
        <v>-155608.89287358109</v>
      </c>
    </row>
    <row r="61" spans="1:11" x14ac:dyDescent="0.2">
      <c r="A61" s="1" t="s">
        <v>36</v>
      </c>
      <c r="C61" s="66"/>
      <c r="D61" s="67">
        <f>-D57</f>
        <v>126250</v>
      </c>
      <c r="E61" s="67">
        <f t="shared" ref="E61:K61" si="10">-E57</f>
        <v>126250</v>
      </c>
      <c r="F61" s="67">
        <f t="shared" si="10"/>
        <v>126250</v>
      </c>
      <c r="G61" s="67">
        <f t="shared" si="10"/>
        <v>126250</v>
      </c>
      <c r="H61" s="67">
        <f t="shared" si="10"/>
        <v>126250</v>
      </c>
      <c r="I61" s="67">
        <f t="shared" si="10"/>
        <v>126250</v>
      </c>
      <c r="J61" s="67">
        <f t="shared" si="10"/>
        <v>126250</v>
      </c>
      <c r="K61" s="67">
        <f t="shared" si="10"/>
        <v>126250</v>
      </c>
    </row>
    <row r="62" spans="1:11" x14ac:dyDescent="0.2">
      <c r="A62" s="1" t="s">
        <v>37</v>
      </c>
      <c r="C62" s="69">
        <f>-H46</f>
        <v>-813296.25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</row>
    <row r="63" spans="1:11" ht="17" thickBot="1" x14ac:dyDescent="0.25">
      <c r="A63" s="1" t="s">
        <v>38</v>
      </c>
      <c r="C63" s="97">
        <f>SUM(C60:C62)</f>
        <v>-813296.25</v>
      </c>
      <c r="D63" s="97">
        <f t="shared" ref="D63:K63" si="11">SUM(D60:D62)</f>
        <v>-13724.67200000002</v>
      </c>
      <c r="E63" s="97">
        <f t="shared" si="11"/>
        <v>-15765.037160000007</v>
      </c>
      <c r="F63" s="97">
        <f t="shared" si="11"/>
        <v>-17866.613274800009</v>
      </c>
      <c r="G63" s="97">
        <f t="shared" si="11"/>
        <v>-20031.236673044012</v>
      </c>
      <c r="H63" s="97">
        <f t="shared" si="11"/>
        <v>-22260.798773235292</v>
      </c>
      <c r="I63" s="97">
        <f t="shared" si="11"/>
        <v>-24557.247736432357</v>
      </c>
      <c r="J63" s="97">
        <f t="shared" si="11"/>
        <v>-26922.590168525348</v>
      </c>
      <c r="K63" s="97">
        <f t="shared" si="11"/>
        <v>-29358.892873581091</v>
      </c>
    </row>
    <row r="64" spans="1:11" ht="17" thickTop="1" x14ac:dyDescent="0.2"/>
    <row r="65" spans="1:14" x14ac:dyDescent="0.2">
      <c r="A65" s="4" t="s">
        <v>39</v>
      </c>
      <c r="C65" s="5"/>
      <c r="D65" s="5"/>
      <c r="E65" s="5"/>
      <c r="F65" s="5"/>
      <c r="G65" s="5"/>
      <c r="H65" s="5"/>
      <c r="I65" s="5"/>
      <c r="J65" s="5"/>
      <c r="K65" s="5"/>
    </row>
    <row r="66" spans="1:14" x14ac:dyDescent="0.2">
      <c r="C66" s="36">
        <v>0</v>
      </c>
      <c r="D66" s="36">
        <v>1</v>
      </c>
      <c r="E66" s="36">
        <v>2</v>
      </c>
      <c r="F66" s="36">
        <v>3</v>
      </c>
      <c r="G66" s="36">
        <v>4</v>
      </c>
      <c r="H66" s="36">
        <v>5</v>
      </c>
      <c r="I66" s="36">
        <v>6</v>
      </c>
      <c r="J66" s="36">
        <v>7</v>
      </c>
      <c r="K66" s="36">
        <v>8</v>
      </c>
    </row>
    <row r="67" spans="1:14" x14ac:dyDescent="0.2">
      <c r="A67" s="1" t="s">
        <v>40</v>
      </c>
      <c r="C67" s="5"/>
      <c r="D67" s="61">
        <f t="shared" ref="D67:K67" si="12">(-$D$25*(1+TestInflation)^C66)</f>
        <v>-295545.60000000003</v>
      </c>
      <c r="E67" s="61">
        <f t="shared" si="12"/>
        <v>-304411.96800000005</v>
      </c>
      <c r="F67" s="61">
        <f t="shared" si="12"/>
        <v>-313544.32704</v>
      </c>
      <c r="G67" s="61">
        <f t="shared" si="12"/>
        <v>-322950.65685120004</v>
      </c>
      <c r="H67" s="61">
        <f t="shared" si="12"/>
        <v>-332639.176556736</v>
      </c>
      <c r="I67" s="61">
        <f t="shared" si="12"/>
        <v>-342618.35185343807</v>
      </c>
      <c r="J67" s="61">
        <f t="shared" si="12"/>
        <v>-352896.90240904124</v>
      </c>
      <c r="K67" s="61">
        <f t="shared" si="12"/>
        <v>-363483.80948131252</v>
      </c>
      <c r="L67" s="71"/>
      <c r="M67" s="72"/>
      <c r="N67" s="71"/>
    </row>
    <row r="68" spans="1:14" x14ac:dyDescent="0.2">
      <c r="A68" s="1" t="s">
        <v>41</v>
      </c>
      <c r="C68" s="5"/>
      <c r="D68" s="61">
        <f t="shared" ref="D68:K68" si="13">(-$E$25*(1+TestInflation)^C66)</f>
        <v>-39563.999999999993</v>
      </c>
      <c r="E68" s="61">
        <f t="shared" si="13"/>
        <v>-40750.919999999991</v>
      </c>
      <c r="F68" s="61">
        <f t="shared" si="13"/>
        <v>-41973.447599999992</v>
      </c>
      <c r="G68" s="61">
        <f t="shared" si="13"/>
        <v>-43232.651027999993</v>
      </c>
      <c r="H68" s="61">
        <f t="shared" si="13"/>
        <v>-44529.630558839992</v>
      </c>
      <c r="I68" s="61">
        <f t="shared" si="13"/>
        <v>-45865.519475605186</v>
      </c>
      <c r="J68" s="61">
        <f t="shared" si="13"/>
        <v>-47241.485059873346</v>
      </c>
      <c r="K68" s="61">
        <f t="shared" si="13"/>
        <v>-48658.729611669551</v>
      </c>
      <c r="L68" s="71"/>
      <c r="M68" s="71"/>
      <c r="N68" s="71"/>
    </row>
    <row r="69" spans="1:14" x14ac:dyDescent="0.2">
      <c r="A69" s="1" t="s">
        <v>42</v>
      </c>
      <c r="C69" s="5"/>
      <c r="D69" s="61">
        <f t="shared" ref="D69:K69" si="14">-4000*(1+TestInflation)^C66</f>
        <v>-4000</v>
      </c>
      <c r="E69" s="61">
        <f t="shared" si="14"/>
        <v>-4120</v>
      </c>
      <c r="F69" s="61">
        <f t="shared" si="14"/>
        <v>-4243.5999999999995</v>
      </c>
      <c r="G69" s="61">
        <f t="shared" si="14"/>
        <v>-4370.9080000000004</v>
      </c>
      <c r="H69" s="61">
        <f t="shared" si="14"/>
        <v>-4502.0352399999992</v>
      </c>
      <c r="I69" s="61">
        <f t="shared" si="14"/>
        <v>-4637.0962971999998</v>
      </c>
      <c r="J69" s="61">
        <f t="shared" si="14"/>
        <v>-4776.2091861159997</v>
      </c>
      <c r="K69" s="61">
        <f t="shared" si="14"/>
        <v>-4919.4954616994801</v>
      </c>
      <c r="L69" s="71"/>
      <c r="M69" s="71"/>
      <c r="N69" s="71"/>
    </row>
    <row r="70" spans="1:14" x14ac:dyDescent="0.2">
      <c r="A70" s="1" t="s">
        <v>86</v>
      </c>
      <c r="C70" s="5"/>
      <c r="D70" s="61">
        <f t="shared" ref="D70:K70" si="15">-12300*(1+TestInflation)^C66</f>
        <v>-12300</v>
      </c>
      <c r="E70" s="61">
        <f t="shared" si="15"/>
        <v>-12669</v>
      </c>
      <c r="F70" s="61">
        <f t="shared" si="15"/>
        <v>-13049.07</v>
      </c>
      <c r="G70" s="61">
        <f t="shared" si="15"/>
        <v>-13440.542100000001</v>
      </c>
      <c r="H70" s="61">
        <f t="shared" si="15"/>
        <v>-13843.758362999999</v>
      </c>
      <c r="I70" s="61">
        <f t="shared" si="15"/>
        <v>-14259.071113889999</v>
      </c>
      <c r="J70" s="61">
        <f t="shared" si="15"/>
        <v>-14686.843247306699</v>
      </c>
      <c r="K70" s="61">
        <f t="shared" si="15"/>
        <v>-15127.448544725901</v>
      </c>
      <c r="L70" s="71"/>
      <c r="M70" s="73"/>
      <c r="N70" s="74"/>
    </row>
    <row r="71" spans="1:14" x14ac:dyDescent="0.2">
      <c r="A71" s="1" t="s">
        <v>32</v>
      </c>
      <c r="C71" s="5"/>
      <c r="D71" s="62">
        <f>-47520</f>
        <v>-47520</v>
      </c>
      <c r="E71" s="62">
        <f t="shared" ref="E71:I71" si="16">-47520</f>
        <v>-47520</v>
      </c>
      <c r="F71" s="62">
        <f t="shared" si="16"/>
        <v>-47520</v>
      </c>
      <c r="G71" s="62">
        <f t="shared" si="16"/>
        <v>-47520</v>
      </c>
      <c r="H71" s="62">
        <f t="shared" si="16"/>
        <v>-47520</v>
      </c>
      <c r="I71" s="62">
        <f t="shared" si="16"/>
        <v>-47520</v>
      </c>
      <c r="J71" s="62">
        <v>0</v>
      </c>
      <c r="K71" s="62">
        <v>0</v>
      </c>
      <c r="L71" s="71"/>
      <c r="M71" s="73"/>
      <c r="N71" s="74"/>
    </row>
    <row r="72" spans="1:14" x14ac:dyDescent="0.2">
      <c r="A72" s="1" t="s">
        <v>33</v>
      </c>
      <c r="C72" s="5"/>
      <c r="D72" s="61">
        <f>SUM(D67:D71)</f>
        <v>-398929.60000000003</v>
      </c>
      <c r="E72" s="61">
        <f t="shared" ref="E72:K72" si="17">SUM(E67:E71)</f>
        <v>-409471.88800000004</v>
      </c>
      <c r="F72" s="61">
        <f t="shared" si="17"/>
        <v>-420330.44464</v>
      </c>
      <c r="G72" s="61">
        <f t="shared" si="17"/>
        <v>-431514.75797920005</v>
      </c>
      <c r="H72" s="61">
        <f t="shared" si="17"/>
        <v>-443034.600718576</v>
      </c>
      <c r="I72" s="61">
        <f t="shared" si="17"/>
        <v>-454900.03874013323</v>
      </c>
      <c r="J72" s="61">
        <f t="shared" si="17"/>
        <v>-419601.43990233733</v>
      </c>
      <c r="K72" s="61">
        <f t="shared" si="17"/>
        <v>-432189.48309940746</v>
      </c>
      <c r="L72" s="71"/>
      <c r="M72" s="73"/>
      <c r="N72" s="74"/>
    </row>
    <row r="73" spans="1:14" x14ac:dyDescent="0.2">
      <c r="A73" s="1" t="s">
        <v>34</v>
      </c>
      <c r="C73" s="5"/>
      <c r="D73" s="63">
        <f t="shared" ref="D73:K73" si="18">D72*TAX</f>
        <v>-171539.728</v>
      </c>
      <c r="E73" s="63">
        <f t="shared" si="18"/>
        <v>-176072.91184000002</v>
      </c>
      <c r="F73" s="63">
        <f t="shared" si="18"/>
        <v>-180742.09119519999</v>
      </c>
      <c r="G73" s="63">
        <f t="shared" si="18"/>
        <v>-185551.34593105601</v>
      </c>
      <c r="H73" s="63">
        <f t="shared" si="18"/>
        <v>-190504.87830898768</v>
      </c>
      <c r="I73" s="63">
        <f t="shared" si="18"/>
        <v>-195607.01665825729</v>
      </c>
      <c r="J73" s="63">
        <f t="shared" si="18"/>
        <v>-180428.61915800505</v>
      </c>
      <c r="K73" s="63">
        <f t="shared" si="18"/>
        <v>-185841.4777327452</v>
      </c>
      <c r="L73" s="71"/>
      <c r="M73" s="73"/>
      <c r="N73" s="74"/>
    </row>
    <row r="74" spans="1:14" x14ac:dyDescent="0.2">
      <c r="A74" s="1" t="s">
        <v>43</v>
      </c>
      <c r="C74" s="5"/>
      <c r="D74" s="64">
        <f>D72-D73</f>
        <v>-227389.87200000003</v>
      </c>
      <c r="E74" s="64">
        <f t="shared" ref="E74:K74" si="19">E72-E73</f>
        <v>-233398.97616000002</v>
      </c>
      <c r="F74" s="64">
        <f t="shared" si="19"/>
        <v>-239588.35344480001</v>
      </c>
      <c r="G74" s="64">
        <f t="shared" si="19"/>
        <v>-245963.41204814403</v>
      </c>
      <c r="H74" s="64">
        <f t="shared" si="19"/>
        <v>-252529.72240958831</v>
      </c>
      <c r="I74" s="64">
        <f t="shared" si="19"/>
        <v>-259293.02208187594</v>
      </c>
      <c r="J74" s="64">
        <f t="shared" si="19"/>
        <v>-239172.82074433228</v>
      </c>
      <c r="K74" s="64">
        <f t="shared" si="19"/>
        <v>-246348.00536666226</v>
      </c>
      <c r="L74" s="71"/>
      <c r="M74" s="73"/>
      <c r="N74" s="74"/>
    </row>
    <row r="75" spans="1:14" x14ac:dyDescent="0.2">
      <c r="A75" s="1" t="s">
        <v>44</v>
      </c>
      <c r="C75" s="5"/>
      <c r="D75" s="64">
        <f>-D71</f>
        <v>47520</v>
      </c>
      <c r="E75" s="64">
        <f t="shared" ref="E75:K75" si="20">-E71</f>
        <v>47520</v>
      </c>
      <c r="F75" s="64">
        <f t="shared" si="20"/>
        <v>47520</v>
      </c>
      <c r="G75" s="64">
        <f t="shared" si="20"/>
        <v>47520</v>
      </c>
      <c r="H75" s="64">
        <f t="shared" si="20"/>
        <v>47520</v>
      </c>
      <c r="I75" s="64">
        <f t="shared" si="20"/>
        <v>47520</v>
      </c>
      <c r="J75" s="64">
        <f t="shared" si="20"/>
        <v>0</v>
      </c>
      <c r="K75" s="64">
        <f t="shared" si="20"/>
        <v>0</v>
      </c>
      <c r="L75" s="71"/>
    </row>
    <row r="76" spans="1:14" x14ac:dyDescent="0.2">
      <c r="A76" s="1" t="s">
        <v>45</v>
      </c>
      <c r="C76" s="5"/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71"/>
    </row>
    <row r="77" spans="1:14" ht="17" thickBot="1" x14ac:dyDescent="0.25">
      <c r="A77" s="1" t="s">
        <v>46</v>
      </c>
      <c r="C77" s="5"/>
      <c r="D77" s="98">
        <f>SUM(D74:D76)</f>
        <v>-179869.87200000003</v>
      </c>
      <c r="E77" s="98">
        <f t="shared" ref="E77:K77" si="21">SUM(E74:E76)</f>
        <v>-185878.97616000002</v>
      </c>
      <c r="F77" s="98">
        <f t="shared" si="21"/>
        <v>-192068.35344480001</v>
      </c>
      <c r="G77" s="98">
        <f t="shared" si="21"/>
        <v>-198443.41204814403</v>
      </c>
      <c r="H77" s="98">
        <f t="shared" si="21"/>
        <v>-205009.72240958831</v>
      </c>
      <c r="I77" s="98">
        <f t="shared" si="21"/>
        <v>-211773.02208187594</v>
      </c>
      <c r="J77" s="98">
        <f t="shared" si="21"/>
        <v>-239172.82074433228</v>
      </c>
      <c r="K77" s="98">
        <f t="shared" si="21"/>
        <v>-246348.00536666226</v>
      </c>
      <c r="L77" s="99"/>
    </row>
    <row r="78" spans="1:14" ht="17" thickTop="1" x14ac:dyDescent="0.2">
      <c r="A78" s="6"/>
      <c r="C78" s="5"/>
      <c r="D78" s="5"/>
      <c r="E78" s="5"/>
      <c r="F78" s="5"/>
      <c r="G78" s="5"/>
      <c r="H78" s="5"/>
      <c r="I78" s="34"/>
      <c r="J78" s="34"/>
      <c r="K78" s="34"/>
    </row>
    <row r="80" spans="1:14" x14ac:dyDescent="0.2">
      <c r="A80" s="4" t="s">
        <v>47</v>
      </c>
    </row>
    <row r="81" spans="1:11" x14ac:dyDescent="0.2">
      <c r="C81" s="36">
        <v>0</v>
      </c>
      <c r="D81" s="36">
        <v>1</v>
      </c>
      <c r="E81" s="36">
        <v>2</v>
      </c>
      <c r="F81" s="36">
        <v>3</v>
      </c>
      <c r="G81" s="36">
        <v>4</v>
      </c>
      <c r="H81" s="36">
        <v>5</v>
      </c>
      <c r="I81" s="36">
        <v>6</v>
      </c>
      <c r="J81" s="36">
        <v>7</v>
      </c>
      <c r="K81" s="36">
        <v>8</v>
      </c>
    </row>
    <row r="82" spans="1:11" x14ac:dyDescent="0.2">
      <c r="A82" s="1" t="s">
        <v>48</v>
      </c>
      <c r="C82" s="61">
        <f>C63</f>
        <v>-813296.25</v>
      </c>
      <c r="D82" s="61">
        <f t="shared" ref="D82:K82" si="22">D63</f>
        <v>-13724.67200000002</v>
      </c>
      <c r="E82" s="61">
        <f t="shared" si="22"/>
        <v>-15765.037160000007</v>
      </c>
      <c r="F82" s="61">
        <f t="shared" si="22"/>
        <v>-17866.613274800009</v>
      </c>
      <c r="G82" s="61">
        <f t="shared" si="22"/>
        <v>-20031.236673044012</v>
      </c>
      <c r="H82" s="61">
        <f t="shared" si="22"/>
        <v>-22260.798773235292</v>
      </c>
      <c r="I82" s="61">
        <f t="shared" si="22"/>
        <v>-24557.247736432357</v>
      </c>
      <c r="J82" s="61">
        <f t="shared" si="22"/>
        <v>-26922.590168525348</v>
      </c>
      <c r="K82" s="61">
        <f t="shared" si="22"/>
        <v>-29358.892873581091</v>
      </c>
    </row>
    <row r="83" spans="1:11" x14ac:dyDescent="0.2">
      <c r="A83" s="1" t="s">
        <v>49</v>
      </c>
      <c r="C83" s="65">
        <f>C77</f>
        <v>0</v>
      </c>
      <c r="D83" s="65">
        <f t="shared" ref="D83:K83" si="23">D77</f>
        <v>-179869.87200000003</v>
      </c>
      <c r="E83" s="65">
        <f t="shared" si="23"/>
        <v>-185878.97616000002</v>
      </c>
      <c r="F83" s="65">
        <f t="shared" si="23"/>
        <v>-192068.35344480001</v>
      </c>
      <c r="G83" s="65">
        <f t="shared" si="23"/>
        <v>-198443.41204814403</v>
      </c>
      <c r="H83" s="65">
        <f t="shared" si="23"/>
        <v>-205009.72240958831</v>
      </c>
      <c r="I83" s="65">
        <f t="shared" si="23"/>
        <v>-211773.02208187594</v>
      </c>
      <c r="J83" s="65">
        <f t="shared" si="23"/>
        <v>-239172.82074433228</v>
      </c>
      <c r="K83" s="65">
        <f t="shared" si="23"/>
        <v>-246348.00536666226</v>
      </c>
    </row>
    <row r="84" spans="1:11" ht="17" thickBot="1" x14ac:dyDescent="0.25">
      <c r="A84" s="1" t="s">
        <v>74</v>
      </c>
      <c r="B84" s="83"/>
      <c r="C84" s="102">
        <f>C82-C83</f>
        <v>-813296.25</v>
      </c>
      <c r="D84" s="102">
        <f>D82-D83</f>
        <v>166145.20000000001</v>
      </c>
      <c r="E84" s="102">
        <f t="shared" ref="E84:K84" si="24">E82-E83</f>
        <v>170113.93900000001</v>
      </c>
      <c r="F84" s="102">
        <f t="shared" si="24"/>
        <v>174201.74017</v>
      </c>
      <c r="G84" s="102">
        <f t="shared" si="24"/>
        <v>178412.17537510002</v>
      </c>
      <c r="H84" s="102">
        <f t="shared" si="24"/>
        <v>182748.92363635302</v>
      </c>
      <c r="I84" s="102">
        <f t="shared" si="24"/>
        <v>187215.77434544358</v>
      </c>
      <c r="J84" s="102">
        <f t="shared" si="24"/>
        <v>212250.23057580693</v>
      </c>
      <c r="K84" s="102">
        <f t="shared" si="24"/>
        <v>216989.11249308116</v>
      </c>
    </row>
    <row r="85" spans="1:11" customFormat="1" ht="14" thickTop="1" x14ac:dyDescent="0.15">
      <c r="B85" s="107"/>
      <c r="C85" s="107"/>
      <c r="D85" s="107"/>
      <c r="E85" s="107"/>
      <c r="F85" s="107"/>
      <c r="G85" s="107"/>
      <c r="H85" s="107"/>
    </row>
    <row r="86" spans="1:11" x14ac:dyDescent="0.2">
      <c r="B86" s="2" t="s">
        <v>77</v>
      </c>
      <c r="C86" s="2" t="s">
        <v>62</v>
      </c>
    </row>
    <row r="87" spans="1:11" x14ac:dyDescent="0.2">
      <c r="A87" s="1" t="s">
        <v>72</v>
      </c>
      <c r="B87" s="58">
        <v>0.11865079999999999</v>
      </c>
      <c r="C87" s="64">
        <f>NPV(B87,D84:K84)+C84</f>
        <v>94715.90500768018</v>
      </c>
      <c r="D87" s="60"/>
      <c r="E87" s="60"/>
      <c r="F87" s="7"/>
      <c r="G87" s="8" t="s">
        <v>73</v>
      </c>
      <c r="H87" s="9"/>
      <c r="I87" s="10" t="s">
        <v>0</v>
      </c>
    </row>
    <row r="88" spans="1:11" x14ac:dyDescent="0.2">
      <c r="A88" s="1" t="s">
        <v>72</v>
      </c>
      <c r="B88" s="76">
        <v>9.8550800000000008E-2</v>
      </c>
      <c r="C88" s="77">
        <f>NPV(B88,D84:K84)+C84</f>
        <v>165775.27190327237</v>
      </c>
      <c r="F88" s="11" t="s">
        <v>64</v>
      </c>
      <c r="G88" s="42">
        <f>PMT(B88,K48,-I88)</f>
        <v>-171866.83261755778</v>
      </c>
      <c r="H88" s="5"/>
      <c r="I88" s="40">
        <f>NPV(B88,D63:K63)+C63</f>
        <v>-921754.23131762911</v>
      </c>
    </row>
    <row r="89" spans="1:11" x14ac:dyDescent="0.2">
      <c r="A89" s="1" t="s">
        <v>72</v>
      </c>
      <c r="B89" s="59">
        <v>0.14000000000000001</v>
      </c>
      <c r="C89" s="64">
        <f>NPV(B89,D84:K84)+C84</f>
        <v>27655.513409717125</v>
      </c>
      <c r="F89" s="11" t="s">
        <v>1</v>
      </c>
      <c r="G89" s="42">
        <f>PMT(B88,I81,-I89)</f>
        <v>-193770.35273453005</v>
      </c>
      <c r="H89" s="5"/>
      <c r="I89" s="40">
        <f>NPV(B88,D77:I77)</f>
        <v>-847516.5462358105</v>
      </c>
      <c r="J89" s="83" t="s">
        <v>88</v>
      </c>
    </row>
    <row r="90" spans="1:11" x14ac:dyDescent="0.2">
      <c r="A90" s="1" t="s">
        <v>50</v>
      </c>
      <c r="C90" s="46">
        <f>IRR(C84:K84)</f>
        <v>0.14960054346684215</v>
      </c>
      <c r="D90" s="38" t="s">
        <v>56</v>
      </c>
      <c r="F90" s="81" t="s">
        <v>1</v>
      </c>
      <c r="G90" s="79">
        <f>PMT(B88,K66,-I90)</f>
        <v>-202776.66730049939</v>
      </c>
      <c r="H90" s="80"/>
      <c r="I90" s="82">
        <f>NPV(B88,D77:K77)</f>
        <v>-1087529.5032209016</v>
      </c>
      <c r="J90" s="83" t="s">
        <v>89</v>
      </c>
    </row>
    <row r="92" spans="1:11" x14ac:dyDescent="0.2">
      <c r="A92" s="4" t="s">
        <v>51</v>
      </c>
    </row>
    <row r="93" spans="1:11" x14ac:dyDescent="0.2">
      <c r="I93" s="3"/>
      <c r="J93" s="3"/>
      <c r="K93" s="3"/>
    </row>
    <row r="94" spans="1:11" ht="17" thickBot="1" x14ac:dyDescent="0.25">
      <c r="B94" s="1" t="s">
        <v>65</v>
      </c>
      <c r="C94" s="3" t="s">
        <v>2</v>
      </c>
      <c r="D94" s="3"/>
      <c r="E94" s="3"/>
      <c r="F94" s="3"/>
      <c r="G94" s="3"/>
      <c r="H94" s="3"/>
      <c r="I94" s="12"/>
    </row>
    <row r="95" spans="1:11" ht="17" thickTop="1" x14ac:dyDescent="0.2">
      <c r="B95" s="103">
        <f>NPV($B$35,D84:K84)+C84</f>
        <v>94715.90500768018</v>
      </c>
      <c r="C95" s="104">
        <v>0</v>
      </c>
      <c r="D95" s="105">
        <v>0.02</v>
      </c>
      <c r="E95" s="105">
        <v>0.03</v>
      </c>
      <c r="F95" s="105">
        <v>0.04</v>
      </c>
      <c r="G95" s="105">
        <v>0.06</v>
      </c>
      <c r="H95" s="106">
        <v>0.08</v>
      </c>
    </row>
    <row r="96" spans="1:11" x14ac:dyDescent="0.2">
      <c r="B96" s="108" t="s">
        <v>57</v>
      </c>
      <c r="C96" s="41">
        <f t="dataTable" ref="C96:H101" dt2D="1" dtr="1" r1="C14" r2="C15"/>
        <v>97988.15852328483</v>
      </c>
      <c r="D96" s="41">
        <v>95636.568855967023</v>
      </c>
      <c r="E96" s="41">
        <v>94715.90500768018</v>
      </c>
      <c r="F96" s="41">
        <v>93952.045581647311</v>
      </c>
      <c r="G96" s="41">
        <v>92858.220344256144</v>
      </c>
      <c r="H96" s="41">
        <v>92287.06678775989</v>
      </c>
      <c r="I96" s="1" t="s">
        <v>52</v>
      </c>
    </row>
    <row r="97" spans="1:9" x14ac:dyDescent="0.2">
      <c r="B97" s="108">
        <v>0.2</v>
      </c>
      <c r="C97" s="41">
        <v>-82709.454649696709</v>
      </c>
      <c r="D97" s="41">
        <v>-76547.982839574688</v>
      </c>
      <c r="E97" s="41">
        <v>-73446.731173769222</v>
      </c>
      <c r="F97" s="41">
        <v>-70335.425317491405</v>
      </c>
      <c r="G97" s="41">
        <v>-64092.520579012227</v>
      </c>
      <c r="H97" s="41">
        <v>-57837.504816633766</v>
      </c>
      <c r="I97" s="1"/>
    </row>
    <row r="98" spans="1:9" x14ac:dyDescent="0.2">
      <c r="A98" s="3" t="s">
        <v>53</v>
      </c>
      <c r="B98" s="109">
        <v>0.3</v>
      </c>
      <c r="C98" s="41">
        <v>-173058.26123618765</v>
      </c>
      <c r="D98" s="41">
        <v>-162640.25868734566</v>
      </c>
      <c r="E98" s="41">
        <v>-157528.04926449398</v>
      </c>
      <c r="F98" s="41">
        <v>-152479.16076706105</v>
      </c>
      <c r="G98" s="41">
        <v>-142567.89104064647</v>
      </c>
      <c r="H98" s="41">
        <v>-132899.79061883083</v>
      </c>
    </row>
    <row r="99" spans="1:9" x14ac:dyDescent="0.2">
      <c r="A99" s="3" t="s">
        <v>54</v>
      </c>
      <c r="B99" s="109">
        <v>0.56000000000000005</v>
      </c>
      <c r="C99" s="41">
        <v>-407965.15836106404</v>
      </c>
      <c r="D99" s="41">
        <v>-386480.17589155002</v>
      </c>
      <c r="E99" s="41">
        <v>-376139.47630037833</v>
      </c>
      <c r="F99" s="41">
        <v>-366052.87293594173</v>
      </c>
      <c r="G99" s="41">
        <v>-346603.85424089548</v>
      </c>
      <c r="H99" s="41">
        <v>-328061.73370454257</v>
      </c>
      <c r="I99" s="1" t="s">
        <v>66</v>
      </c>
    </row>
    <row r="100" spans="1:9" x14ac:dyDescent="0.2">
      <c r="B100" s="109">
        <v>0.8</v>
      </c>
      <c r="C100" s="41">
        <v>-624802.29416864202</v>
      </c>
      <c r="D100" s="41">
        <v>-593101.63792620017</v>
      </c>
      <c r="E100" s="41">
        <v>-577934.63971811754</v>
      </c>
      <c r="F100" s="41">
        <v>-563197.83801490848</v>
      </c>
      <c r="G100" s="41">
        <v>-534944.74334881757</v>
      </c>
      <c r="H100" s="41">
        <v>-508211.21962981514</v>
      </c>
    </row>
    <row r="101" spans="1:9" ht="17" thickBot="1" x14ac:dyDescent="0.25">
      <c r="B101" s="110">
        <v>1</v>
      </c>
      <c r="C101" s="41">
        <v>-805499.90734162368</v>
      </c>
      <c r="D101" s="41">
        <v>-765286.18962174188</v>
      </c>
      <c r="E101" s="41">
        <v>-746097.27589956694</v>
      </c>
      <c r="F101" s="41">
        <v>-727485.30891404755</v>
      </c>
      <c r="G101" s="41">
        <v>-691895.48427208606</v>
      </c>
      <c r="H101" s="41">
        <v>-658335.79123420885</v>
      </c>
      <c r="I101" s="1" t="s">
        <v>55</v>
      </c>
    </row>
    <row r="102" spans="1:9" ht="17" thickTop="1" x14ac:dyDescent="0.2"/>
    <row r="104" spans="1:9" x14ac:dyDescent="0.2">
      <c r="B104" s="39" t="s">
        <v>56</v>
      </c>
      <c r="C104" s="2" t="s">
        <v>56</v>
      </c>
      <c r="D104" s="78"/>
    </row>
    <row r="106" spans="1:9" x14ac:dyDescent="0.2">
      <c r="C106" s="84"/>
    </row>
  </sheetData>
  <scenarios current="0" show="0">
    <scenario name="Inflation 3%" locked="1" count="1" user="Microsoft Office User" comment="Created by Microsoft Office User on 2/12/2025_x000a_Modified by Microsoft Office User on 2/12/2025">
      <inputCells r="C14" val="0.03" numFmtId="9"/>
    </scenario>
    <scenario name="Base" locked="1" count="1" user="Microsoft Office User" comment="Created by Microsoft Office User on 2/12/2025">
      <inputCells r="C14" val="0" numFmtId="9"/>
    </scenario>
  </scenarios>
  <mergeCells count="3">
    <mergeCell ref="A1:G1"/>
    <mergeCell ref="A12:E12"/>
    <mergeCell ref="A13:C13"/>
  </mergeCells>
  <pageMargins left="0.75" right="0.75" top="1" bottom="1" header="0.5" footer="0.5"/>
  <pageSetup fitToHeight="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MetadataLibraryDisplayFormLink xmlns="82207545-987c-4df2-827d-742bde27eac5" xsi:nil="true"/>
    <Dashboard_x002a_ xmlns="ec868678-deb6-48cf-896b-119bf5e2249b">
      <Url xmlns="ec868678-deb6-48cf-896b-119bf5e2249b" xsi:nil="true"/>
      <Description xmlns="ec868678-deb6-48cf-896b-119bf5e2249b" xsi:nil="true"/>
    </Dashboard_x002a_>
    <Document_x0020_Type xmlns="ec868678-deb6-48cf-896b-119bf5e2249b">Supplemental File</Document_x0020_Type>
    <MetadataLibrary xmlns="82207545-987c-4df2-827d-742bde27eac5" xsi:nil="true"/>
    <Metadata_x0020_Form_x0020_URL_x002a_ xmlns="ec868678-deb6-48cf-896b-119bf5e2249b">
      <Url xmlns="ec868678-deb6-48cf-896b-119bf5e2249b">http://cm3.darden.virginia.edu/CMO/Gold%20Metadata/DispFormMeta.aspx?ID=24750</Url>
      <Description xmlns="ec868678-deb6-48cf-896b-119bf5e2249b">View Document Metadata</Description>
    </Metadata_x0020_Form_x0020_URL_x002a_>
    <Faculty_x0020_Sponsor_x002a_ xmlns="ec868678-deb6-48cf-896b-119bf5e2249b">
      <UserInfo xmlns="ec868678-deb6-48cf-896b-119bf5e2249b">
        <DisplayName xmlns="ec868678-deb6-48cf-896b-119bf5e2249b"/>
        <AccountId xmlns="ec868678-deb6-48cf-896b-119bf5e2249b">83</AccountId>
        <AccountType xmlns="ec868678-deb6-48cf-896b-119bf5e2249b"/>
      </UserInfo>
    </Faculty_x0020_Sponsor_x002a_>
    <DBP_x0020_Editor_x002a_ xmlns="ec868678-deb6-48cf-896b-119bf5e2249b">
      <UserInfo xmlns="ec868678-deb6-48cf-896b-119bf5e2249b">
        <DisplayName xmlns="ec868678-deb6-48cf-896b-119bf5e2249b"/>
        <AccountId xmlns="ec868678-deb6-48cf-896b-119bf5e2249b" xsi:nil="true"/>
        <AccountType xmlns="ec868678-deb6-48cf-896b-119bf5e2249b"/>
      </UserInfo>
    </DBP_x0020_Editor_x002a_>
    <Metadata_x0020_Link_x0020_ID xmlns="ec868678-deb6-48cf-896b-119bf5e2249b">dcb1aa9e-1f4a-4b36-ae4e-c8cd46499e6a</Metadata_x0020_Link_x0020_ID>
    <Subject_x0020_Area xmlns="ec868678-deb6-48cf-896b-119bf5e2249b">Finance</Subject_x0020_Area>
    <MetadataID xmlns="82207545-987c-4df2-827d-742bde27eac5" xsi:nil="true"/>
    <Approver_x002a_ xmlns="ec868678-deb6-48cf-896b-119bf5e2249b">
      <UserInfo xmlns="ec868678-deb6-48cf-896b-119bf5e2249b">
        <DisplayName xmlns="ec868678-deb6-48cf-896b-119bf5e2249b"/>
        <AccountId xmlns="ec868678-deb6-48cf-896b-119bf5e2249b" xsi:nil="true"/>
        <AccountType xmlns="ec868678-deb6-48cf-896b-119bf5e2249b"/>
      </UserInfo>
    </Approver_x002a_>
    <PrimaryAuthor xmlns="82207545-987c-4df2-827d-742bde27eac5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8B602DD77EF48A07DCBF2B238F6DA" ma:contentTypeVersion="59" ma:contentTypeDescription="Create a new document." ma:contentTypeScope="" ma:versionID="4bd55029f91e11bd7f6e4564ed24c857">
  <xsd:schema xmlns:xsd="http://www.w3.org/2001/XMLSchema" xmlns:p="http://schemas.microsoft.com/office/2006/metadata/properties" xmlns:ns2="82207545-987c-4df2-827d-742bde27eac5" xmlns:ns3="ec868678-deb6-48cf-896b-119bf5e2249b" targetNamespace="http://schemas.microsoft.com/office/2006/metadata/properties" ma:root="true" ma:fieldsID="5c2dfaaebba54ed7751c674a66d9a725" ns2:_="" ns3:_="">
    <xsd:import namespace="82207545-987c-4df2-827d-742bde27eac5"/>
    <xsd:import namespace="ec868678-deb6-48cf-896b-119bf5e2249b"/>
    <xsd:element name="properties">
      <xsd:complexType>
        <xsd:sequence>
          <xsd:element name="documentManagement">
            <xsd:complexType>
              <xsd:all>
                <xsd:element ref="ns2:PrimaryAuthor"/>
                <xsd:element ref="ns2:ApprovalState" minOccurs="0"/>
                <xsd:element ref="ns2:DateOfApproval" minOccurs="0"/>
                <xsd:element ref="ns2:CheckinCommentLine" minOccurs="0"/>
                <xsd:element ref="ns2:VersionModifierName" minOccurs="0"/>
                <xsd:element ref="ns2:DateInEditing" minOccurs="0"/>
                <xsd:element ref="ns2:DatePending" minOccurs="0"/>
                <xsd:element ref="ns2:MetadataLibrary" minOccurs="0"/>
                <xsd:element ref="ns2:MetadataID" minOccurs="0"/>
                <xsd:element ref="ns2:MetadataLibraryDisplayFormLink" minOccurs="0"/>
                <xsd:element ref="ns2:RejectionText" minOccurs="0"/>
                <xsd:element ref="ns3:Approver_x002a_" minOccurs="0"/>
                <xsd:element ref="ns3:Dashboard_x002a_" minOccurs="0"/>
                <xsd:element ref="ns3:DBP_x0020_Editor_x002a_" minOccurs="0"/>
                <xsd:element ref="ns3:Faculty_x0020_Sponsor_x002a_" minOccurs="0"/>
                <xsd:element ref="ns3:Metadata_x0020_Link_x0020_ID" minOccurs="0"/>
                <xsd:element ref="ns3:Metadata_x0020_Form_x0020_URL_x002a_" minOccurs="0"/>
                <xsd:element ref="ns3:Document_x0020_Type" minOccurs="0"/>
                <xsd:element ref="ns3:Subject_x0020_Are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2207545-987c-4df2-827d-742bde27eac5" elementFormDefault="qualified">
    <xsd:import namespace="http://schemas.microsoft.com/office/2006/documentManagement/types"/>
    <xsd:element name="PrimaryAuthor" ma:index="8" ma:displayName="Primary Author" ma:hidden="true" ma:internalName="PrimaryAuthor">
      <xsd:simpleType>
        <xsd:restriction base="dms:Text"/>
      </xsd:simpleType>
    </xsd:element>
    <xsd:element name="ApprovalState" ma:index="9" nillable="true" ma:displayName="Document Approval" ma:internalName="ApprovalState" ma:readOnly="true">
      <xsd:simpleType>
        <xsd:restriction base="dms:Text"/>
      </xsd:simpleType>
    </xsd:element>
    <xsd:element name="DateOfApproval" ma:index="10" nillable="true" ma:displayName="Date Approved" ma:internalName="DateOfApproval" ma:readOnly="true">
      <xsd:simpleType>
        <xsd:restriction base="dms:DateTime"/>
      </xsd:simpleType>
    </xsd:element>
    <xsd:element name="CheckinCommentLine" ma:index="11" nillable="true" ma:displayName="Comment Line" ma:internalName="CheckinCommentLine" ma:readOnly="true">
      <xsd:simpleType>
        <xsd:restriction base="dms:Text"/>
      </xsd:simpleType>
    </xsd:element>
    <xsd:element name="VersionModifierName" ma:index="12" nillable="true" ma:displayName="VM Name" ma:internalName="VersionModifierName" ma:readOnly="true">
      <xsd:simpleType>
        <xsd:restriction base="dms:Text"/>
      </xsd:simpleType>
    </xsd:element>
    <xsd:element name="DateInEditing" ma:index="13" nillable="true" ma:displayName="Date Editing Began" ma:internalName="DateInEditing" ma:readOnly="true">
      <xsd:simpleType>
        <xsd:restriction base="dms:DateTime"/>
      </xsd:simpleType>
    </xsd:element>
    <xsd:element name="DatePending" ma:index="14" nillable="true" ma:displayName="Date Approval Sent" ma:internalName="DatePending" ma:readOnly="true">
      <xsd:simpleType>
        <xsd:restriction base="dms:DateTime"/>
      </xsd:simpleType>
    </xsd:element>
    <xsd:element name="MetadataLibrary" ma:index="15" nillable="true" ma:displayName="Metadata Library" ma:hidden="true" ma:internalName="MetadataLibrary">
      <xsd:simpleType>
        <xsd:restriction base="dms:Text"/>
      </xsd:simpleType>
    </xsd:element>
    <xsd:element name="MetadataID" ma:index="16" nillable="true" ma:displayName="Metadata ID" ma:hidden="true" ma:internalName="MetadataID">
      <xsd:simpleType>
        <xsd:restriction base="dms:Text"/>
      </xsd:simpleType>
    </xsd:element>
    <xsd:element name="MetadataLibraryDisplayFormLink" ma:index="17" nillable="true" ma:displayName="Display Form Link" ma:hidden="true" ma:internalName="MetadataLibraryDisplayFormLink">
      <xsd:simpleType>
        <xsd:restriction base="dms:Text"/>
      </xsd:simpleType>
    </xsd:element>
    <xsd:element name="RejectionText" ma:index="18" nillable="true" ma:displayName="Rejection Text" ma:internalName="RejectionText" ma:readOnly="true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ec868678-deb6-48cf-896b-119bf5e2249b" elementFormDefault="qualified">
    <xsd:import namespace="http://schemas.microsoft.com/office/2006/documentManagement/types"/>
    <xsd:element name="Approver_x002a_" ma:index="20" nillable="true" ma:displayName="Approver" ma:list="UserInfo" ma:internalName="Approver_x002A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shboard_x002a_" ma:index="21" nillable="true" ma:displayName="Dashboard" ma:format="Hyperlink" ma:internalName="Dashboard_x002A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BP_x0020_Editor_x002a_" ma:index="22" nillable="true" ma:displayName="DBP Editor" ma:list="UserInfo" ma:internalName="DBP_x0020_Editor_x002A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aculty_x0020_Sponsor_x002a_" ma:index="23" nillable="true" ma:displayName="Faculty Sponsor" ma:list="UserInfo" ma:internalName="Faculty_x0020_Sponsor_x002A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tadata_x0020_Link_x0020_ID" ma:index="24" nillable="true" ma:displayName="File Identification Number" ma:internalName="Metadata_x0020_Link_x0020_ID">
      <xsd:simpleType>
        <xsd:restriction base="dms:Text">
          <xsd:maxLength value="255"/>
        </xsd:restriction>
      </xsd:simpleType>
    </xsd:element>
    <xsd:element name="Metadata_x0020_Form_x0020_URL_x002a_" ma:index="25" nillable="true" ma:displayName="Metadata Form URL" ma:format="Hyperlink" ma:internalName="Metadata_x0020_Form_x0020_URL_x002A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ocument_x0020_Type" ma:index="26" nillable="true" ma:displayName="Product Type" ma:format="Dropdown" ma:internalName="Document_x0020_Type">
      <xsd:simpleType>
        <xsd:restriction base="dms:Choice">
          <xsd:enumeration value="Case"/>
          <xsd:enumeration value="Technical Note"/>
          <xsd:enumeration value="Teaching Note"/>
          <xsd:enumeration value="Supplemental File"/>
          <xsd:enumeration value="Working Paper"/>
          <xsd:enumeration value="Book Chapter"/>
          <xsd:enumeration value="Multimedia Case"/>
          <xsd:enumeration value="Multimedia TN"/>
          <xsd:enumeration value="Simulation"/>
          <xsd:enumeration value="Simulation TN"/>
          <xsd:enumeration value="DCCP"/>
          <xsd:enumeration value="DVD Supplement"/>
          <xsd:enumeration value="VHS Supplement"/>
          <xsd:enumeration value="KIT"/>
          <xsd:enumeration value="Audio"/>
          <xsd:enumeration value="Book"/>
        </xsd:restriction>
      </xsd:simpleType>
    </xsd:element>
    <xsd:element name="Subject_x0020_Area" ma:index="27" nillable="true" ma:displayName="Subject Area" ma:format="Dropdown" ma:internalName="Subject_x0020_Area" ma:readOnly="false">
      <xsd:simpleType>
        <xsd:restriction base="dms:Choice">
          <xsd:enumeration value="Accounting and Control"/>
          <xsd:enumeration value="Business Communications"/>
          <xsd:enumeration value="Business Policy"/>
          <xsd:enumeration value="Computer-Information Technology"/>
          <xsd:enumeration value="Entrepreneurship and Innovation"/>
          <xsd:enumeration value="Ethics"/>
          <xsd:enumeration value="Finance"/>
          <xsd:enumeration value="General"/>
          <xsd:enumeration value="Global Economies and Markets"/>
          <xsd:enumeration value="Marketing"/>
          <xsd:enumeration value="Nonprofit Organizations"/>
          <xsd:enumeration value="Operations Management"/>
          <xsd:enumeration value="Organizational Behavior and Human Resources"/>
          <xsd:enumeration value="Pedagogy and Higher Administration"/>
          <xsd:enumeration value="Personal Assessment and Career Strategy"/>
          <xsd:enumeration value="Quantitative Analysis"/>
          <xsd:enumeration value="Strategy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78062D5-CE5F-40BC-B79E-80D4954374E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5B522C8-C956-4ACC-B03E-1BBE357B15EB}">
  <ds:schemaRefs>
    <ds:schemaRef ds:uri="http://schemas.microsoft.com/office/2006/metadata/properties"/>
    <ds:schemaRef ds:uri="82207545-987c-4df2-827d-742bde27eac5"/>
    <ds:schemaRef ds:uri="ec868678-deb6-48cf-896b-119bf5e2249b"/>
  </ds:schemaRefs>
</ds:datastoreItem>
</file>

<file path=customXml/itemProps3.xml><?xml version="1.0" encoding="utf-8"?>
<ds:datastoreItem xmlns:ds="http://schemas.openxmlformats.org/officeDocument/2006/customXml" ds:itemID="{2956E276-3EF2-4D03-AF6B-6B6D6659E3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3673518-FC36-4C28-AE96-803B69424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207545-987c-4df2-827d-742bde27eac5"/>
    <ds:schemaRef ds:uri="ec868678-deb6-48cf-896b-119bf5e224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Fonderia</vt:lpstr>
      <vt:lpstr>Paid Leave</vt:lpstr>
      <vt:lpstr>WACC adjust</vt:lpstr>
      <vt:lpstr>'Paid Leave'!Inflation</vt:lpstr>
      <vt:lpstr>'WACC adjust'!Inflation</vt:lpstr>
      <vt:lpstr>Inflation</vt:lpstr>
      <vt:lpstr>'Paid Leave'!TAX</vt:lpstr>
      <vt:lpstr>'WACC adjust'!TAX</vt:lpstr>
      <vt:lpstr>TAX</vt:lpstr>
      <vt:lpstr>'Paid Leave'!TestInflation</vt:lpstr>
      <vt:lpstr>'WACC adjust'!TestInflation</vt:lpstr>
      <vt:lpstr>TestInflation</vt:lpstr>
    </vt:vector>
  </TitlesOfParts>
  <Company>DARDEN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Fonderia Di Torino (SPREADSHEET TN)</dc:title>
  <dc:subject>Teaching Note</dc:subject>
  <dc:creator>Robert Bruner</dc:creator>
  <cp:lastModifiedBy>Nenotte Aminata Yacine Seck</cp:lastModifiedBy>
  <cp:lastPrinted>2001-09-03T19:20:33Z</cp:lastPrinted>
  <dcterms:created xsi:type="dcterms:W3CDTF">1997-07-14T18:00:21Z</dcterms:created>
  <dcterms:modified xsi:type="dcterms:W3CDTF">2025-11-21T22:52:01Z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w or Revision?">
    <vt:lpwstr>Revision</vt:lpwstr>
  </property>
  <property fmtid="{D5CDD505-2E9C-101B-9397-08002B2CF9AE}" pid="3" name="Modified temp">
    <vt:lpwstr>2010-04-27T11:45:20Z</vt:lpwstr>
  </property>
  <property fmtid="{D5CDD505-2E9C-101B-9397-08002B2CF9AE}" pid="4" name="display_urn:schemas-microsoft-com:office:office#Modified_x0020_By_x0020_Temp">
    <vt:lpwstr>Woods, Elizabeth (Beth)</vt:lpwstr>
  </property>
  <property fmtid="{D5CDD505-2E9C-101B-9397-08002B2CF9AE}" pid="5" name="Order">
    <vt:lpwstr>2242300.00000000</vt:lpwstr>
  </property>
  <property fmtid="{D5CDD505-2E9C-101B-9397-08002B2CF9AE}" pid="6" name="Modified By Temp">
    <vt:lpwstr>20</vt:lpwstr>
  </property>
  <property fmtid="{D5CDD505-2E9C-101B-9397-08002B2CF9AE}" pid="7" name="WorkflowCreationPath">
    <vt:lpwstr>b6d7353f-e61b-4a14-aef8-2815d0633212,11;b6d7353f-e61b-4a14-aef8-2815d0633212,11;</vt:lpwstr>
  </property>
  <property fmtid="{D5CDD505-2E9C-101B-9397-08002B2CF9AE}" pid="8" name="display_urn:schemas-microsoft-com:office:office#Faculty_x0020_Sponsor_x002A_">
    <vt:lpwstr>Bruner, Robert</vt:lpwstr>
  </property>
  <property fmtid="{D5CDD505-2E9C-101B-9397-08002B2CF9AE}" pid="9" name="Subject">
    <vt:lpwstr>Teaching Note</vt:lpwstr>
  </property>
  <property fmtid="{D5CDD505-2E9C-101B-9397-08002B2CF9AE}" pid="10" name="Keywords">
    <vt:lpwstr/>
  </property>
  <property fmtid="{D5CDD505-2E9C-101B-9397-08002B2CF9AE}" pid="11" name="_Author">
    <vt:lpwstr>Robert Bruner</vt:lpwstr>
  </property>
  <property fmtid="{D5CDD505-2E9C-101B-9397-08002B2CF9AE}" pid="12" name="_Category">
    <vt:lpwstr/>
  </property>
  <property fmtid="{D5CDD505-2E9C-101B-9397-08002B2CF9AE}" pid="13" name="Categories">
    <vt:lpwstr/>
  </property>
  <property fmtid="{D5CDD505-2E9C-101B-9397-08002B2CF9AE}" pid="14" name="Approval Level">
    <vt:lpwstr/>
  </property>
  <property fmtid="{D5CDD505-2E9C-101B-9397-08002B2CF9AE}" pid="15" name="_Comments">
    <vt:lpwstr/>
  </property>
  <property fmtid="{D5CDD505-2E9C-101B-9397-08002B2CF9AE}" pid="16" name="Assigned To">
    <vt:lpwstr/>
  </property>
  <property fmtid="{D5CDD505-2E9C-101B-9397-08002B2CF9AE}" pid="17" name="ContentType">
    <vt:lpwstr>Document</vt:lpwstr>
  </property>
  <property fmtid="{D5CDD505-2E9C-101B-9397-08002B2CF9AE}" pid="18" name="display_urn:schemas-microsoft-com:office:office#Editor">
    <vt:lpwstr>Woods, Elizabeth (Beth)</vt:lpwstr>
  </property>
  <property fmtid="{D5CDD505-2E9C-101B-9397-08002B2CF9AE}" pid="19" name="display_urn:schemas-microsoft-com:office:office#Author">
    <vt:lpwstr>Woods, Elizabeth (Beth)</vt:lpwstr>
  </property>
</Properties>
</file>